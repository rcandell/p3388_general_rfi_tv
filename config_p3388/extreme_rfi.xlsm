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meas\p3388_general_rfi_tv\config_p3388\"/>
    </mc:Choice>
  </mc:AlternateContent>
  <xr:revisionPtr revIDLastSave="0" documentId="13_ncr:1_{6491E6AC-BBAA-49C4-8772-06EDFCDB12E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C3" i="1"/>
  <c r="C4" i="1"/>
  <c r="J4" i="1"/>
  <c r="I4" i="1"/>
  <c r="I3" i="1"/>
  <c r="C35" i="1" l="1"/>
  <c r="I35" i="1"/>
  <c r="J35" i="1"/>
  <c r="L35" i="1"/>
  <c r="M35" i="1"/>
  <c r="C36" i="1"/>
  <c r="I36" i="1"/>
  <c r="J36" i="1"/>
  <c r="L36" i="1"/>
  <c r="M36" i="1"/>
  <c r="C37" i="1"/>
  <c r="I37" i="1"/>
  <c r="J37" i="1"/>
  <c r="L37" i="1"/>
  <c r="M37" i="1"/>
  <c r="C38" i="1"/>
  <c r="I38" i="1"/>
  <c r="J38" i="1"/>
  <c r="L38" i="1"/>
  <c r="M38" i="1"/>
  <c r="C39" i="1"/>
  <c r="I39" i="1"/>
  <c r="J39" i="1"/>
  <c r="L39" i="1"/>
  <c r="M39" i="1"/>
  <c r="C40" i="1"/>
  <c r="I40" i="1"/>
  <c r="J40" i="1"/>
  <c r="L40" i="1"/>
  <c r="M40" i="1"/>
  <c r="C41" i="1"/>
  <c r="I41" i="1"/>
  <c r="J41" i="1"/>
  <c r="L41" i="1"/>
  <c r="M41" i="1"/>
  <c r="C42" i="1"/>
  <c r="I42" i="1"/>
  <c r="J42" i="1"/>
  <c r="L42" i="1"/>
  <c r="M42" i="1"/>
  <c r="C43" i="1"/>
  <c r="I43" i="1"/>
  <c r="J43" i="1"/>
  <c r="L43" i="1"/>
  <c r="M43" i="1"/>
  <c r="C44" i="1"/>
  <c r="I44" i="1"/>
  <c r="J44" i="1"/>
  <c r="L44" i="1"/>
  <c r="M44" i="1"/>
  <c r="C45" i="1"/>
  <c r="I45" i="1"/>
  <c r="J45" i="1"/>
  <c r="L45" i="1"/>
  <c r="M45" i="1"/>
  <c r="C46" i="1"/>
  <c r="I46" i="1"/>
  <c r="J46" i="1"/>
  <c r="L46" i="1"/>
  <c r="M46" i="1"/>
  <c r="C47" i="1"/>
  <c r="I47" i="1"/>
  <c r="J47" i="1"/>
  <c r="L47" i="1"/>
  <c r="M47" i="1"/>
  <c r="C48" i="1"/>
  <c r="I48" i="1"/>
  <c r="J48" i="1"/>
  <c r="L48" i="1"/>
  <c r="M48" i="1"/>
  <c r="C49" i="1"/>
  <c r="I49" i="1"/>
  <c r="J49" i="1"/>
  <c r="L49" i="1"/>
  <c r="M49" i="1"/>
  <c r="C50" i="1"/>
  <c r="I50" i="1"/>
  <c r="J50" i="1"/>
  <c r="L50" i="1"/>
  <c r="M50" i="1"/>
  <c r="C51" i="1"/>
  <c r="I51" i="1"/>
  <c r="J51" i="1"/>
  <c r="L51" i="1"/>
  <c r="M51" i="1"/>
  <c r="C52" i="1"/>
  <c r="I52" i="1"/>
  <c r="J52" i="1"/>
  <c r="L52" i="1"/>
  <c r="M52" i="1"/>
  <c r="C53" i="1"/>
  <c r="I53" i="1"/>
  <c r="J53" i="1"/>
  <c r="L53" i="1"/>
  <c r="M53" i="1"/>
  <c r="C54" i="1"/>
  <c r="I54" i="1"/>
  <c r="J54" i="1"/>
  <c r="L54" i="1"/>
  <c r="M54" i="1"/>
  <c r="C55" i="1"/>
  <c r="I55" i="1"/>
  <c r="J55" i="1"/>
  <c r="L55" i="1"/>
  <c r="M55" i="1"/>
  <c r="C56" i="1"/>
  <c r="I56" i="1"/>
  <c r="J56" i="1"/>
  <c r="L56" i="1"/>
  <c r="M56" i="1"/>
  <c r="C57" i="1"/>
  <c r="I57" i="1"/>
  <c r="J57" i="1"/>
  <c r="L57" i="1"/>
  <c r="M57" i="1"/>
  <c r="C58" i="1"/>
  <c r="I58" i="1"/>
  <c r="J58" i="1"/>
  <c r="L58" i="1"/>
  <c r="M58" i="1"/>
  <c r="C59" i="1"/>
  <c r="I59" i="1"/>
  <c r="J59" i="1"/>
  <c r="L59" i="1"/>
  <c r="M59" i="1"/>
  <c r="C60" i="1"/>
  <c r="I60" i="1"/>
  <c r="J60" i="1"/>
  <c r="L60" i="1"/>
  <c r="M60" i="1"/>
  <c r="C61" i="1"/>
  <c r="I61" i="1"/>
  <c r="J61" i="1"/>
  <c r="L61" i="1"/>
  <c r="M61" i="1"/>
  <c r="C62" i="1"/>
  <c r="I62" i="1"/>
  <c r="J62" i="1"/>
  <c r="L62" i="1"/>
  <c r="M62" i="1"/>
  <c r="C63" i="1"/>
  <c r="I63" i="1"/>
  <c r="J63" i="1"/>
  <c r="L63" i="1"/>
  <c r="M63" i="1"/>
  <c r="C64" i="1"/>
  <c r="I64" i="1"/>
  <c r="J64" i="1"/>
  <c r="L64" i="1"/>
  <c r="M64" i="1"/>
  <c r="C25" i="1"/>
  <c r="I25" i="1"/>
  <c r="J25" i="1"/>
  <c r="L25" i="1"/>
  <c r="M25" i="1"/>
  <c r="C26" i="1"/>
  <c r="I26" i="1"/>
  <c r="J26" i="1"/>
  <c r="L26" i="1"/>
  <c r="M26" i="1"/>
  <c r="C27" i="1"/>
  <c r="I27" i="1"/>
  <c r="J27" i="1"/>
  <c r="L27" i="1"/>
  <c r="M27" i="1"/>
  <c r="C28" i="1"/>
  <c r="I28" i="1"/>
  <c r="J28" i="1"/>
  <c r="L28" i="1"/>
  <c r="M28" i="1"/>
  <c r="C29" i="1"/>
  <c r="I29" i="1"/>
  <c r="J29" i="1"/>
  <c r="L29" i="1"/>
  <c r="M29" i="1"/>
  <c r="C30" i="1"/>
  <c r="I30" i="1"/>
  <c r="J30" i="1"/>
  <c r="L30" i="1"/>
  <c r="M30" i="1"/>
  <c r="C31" i="1"/>
  <c r="I31" i="1"/>
  <c r="J31" i="1"/>
  <c r="L31" i="1"/>
  <c r="M31" i="1"/>
  <c r="C32" i="1"/>
  <c r="I32" i="1"/>
  <c r="J32" i="1"/>
  <c r="L32" i="1"/>
  <c r="M32" i="1"/>
  <c r="C33" i="1"/>
  <c r="I33" i="1"/>
  <c r="J33" i="1"/>
  <c r="L33" i="1"/>
  <c r="M33" i="1"/>
  <c r="C34" i="1"/>
  <c r="I34" i="1"/>
  <c r="J34" i="1"/>
  <c r="L34" i="1"/>
  <c r="M34" i="1"/>
  <c r="M24" i="1"/>
  <c r="L24" i="1"/>
  <c r="J24" i="1"/>
  <c r="I24" i="1"/>
  <c r="C24" i="1"/>
  <c r="M23" i="1"/>
  <c r="L23" i="1"/>
  <c r="J23" i="1"/>
  <c r="I23" i="1"/>
  <c r="C23" i="1"/>
  <c r="C16" i="1"/>
  <c r="I16" i="1"/>
  <c r="J16" i="1"/>
  <c r="L16" i="1"/>
  <c r="M16" i="1"/>
  <c r="C17" i="1"/>
  <c r="I17" i="1"/>
  <c r="J17" i="1"/>
  <c r="L17" i="1"/>
  <c r="M17" i="1"/>
  <c r="C18" i="1"/>
  <c r="I18" i="1"/>
  <c r="J18" i="1"/>
  <c r="L18" i="1"/>
  <c r="M18" i="1"/>
  <c r="C19" i="1"/>
  <c r="I19" i="1"/>
  <c r="J19" i="1"/>
  <c r="L19" i="1"/>
  <c r="M19" i="1"/>
  <c r="C20" i="1"/>
  <c r="I20" i="1"/>
  <c r="J20" i="1"/>
  <c r="L20" i="1"/>
  <c r="M20" i="1"/>
  <c r="C21" i="1"/>
  <c r="I21" i="1"/>
  <c r="J21" i="1"/>
  <c r="L21" i="1"/>
  <c r="M21" i="1"/>
  <c r="C22" i="1"/>
  <c r="I22" i="1"/>
  <c r="J22" i="1"/>
  <c r="L22" i="1"/>
  <c r="M22" i="1"/>
  <c r="C15" i="1"/>
  <c r="I15" i="1"/>
  <c r="J15" i="1"/>
  <c r="L15" i="1"/>
  <c r="M15" i="1"/>
  <c r="G6" i="1"/>
  <c r="F6" i="1" s="1"/>
  <c r="I5" i="1"/>
  <c r="D6" i="1"/>
  <c r="E6" i="1" s="1"/>
  <c r="C12" i="1"/>
  <c r="C6" i="1"/>
  <c r="I6" i="1"/>
  <c r="J6" i="1"/>
  <c r="L6" i="1"/>
  <c r="M6" i="1"/>
  <c r="C7" i="1"/>
  <c r="I7" i="1"/>
  <c r="J7" i="1"/>
  <c r="L7" i="1"/>
  <c r="M7" i="1"/>
  <c r="C8" i="1"/>
  <c r="I8" i="1"/>
  <c r="J8" i="1"/>
  <c r="L8" i="1"/>
  <c r="M8" i="1"/>
  <c r="C9" i="1"/>
  <c r="I9" i="1"/>
  <c r="J9" i="1"/>
  <c r="L9" i="1"/>
  <c r="M9" i="1"/>
  <c r="C10" i="1"/>
  <c r="I10" i="1"/>
  <c r="J10" i="1"/>
  <c r="L10" i="1"/>
  <c r="M10" i="1"/>
  <c r="C11" i="1"/>
  <c r="I11" i="1"/>
  <c r="J11" i="1"/>
  <c r="L11" i="1"/>
  <c r="M11" i="1"/>
  <c r="I12" i="1"/>
  <c r="J12" i="1"/>
  <c r="L12" i="1"/>
  <c r="M12" i="1"/>
  <c r="C13" i="1"/>
  <c r="I13" i="1"/>
  <c r="J13" i="1"/>
  <c r="L13" i="1"/>
  <c r="M13" i="1"/>
  <c r="C14" i="1"/>
  <c r="I14" i="1"/>
  <c r="J14" i="1"/>
  <c r="L14" i="1"/>
  <c r="M14" i="1"/>
  <c r="G7" i="1" l="1"/>
  <c r="D7" i="1"/>
  <c r="F7" i="1" l="1"/>
  <c r="G8" i="1"/>
  <c r="D8" i="1"/>
  <c r="E7" i="1"/>
  <c r="G9" i="1" l="1"/>
  <c r="F8" i="1"/>
  <c r="D9" i="1"/>
  <c r="E8" i="1"/>
  <c r="C5" i="1"/>
  <c r="E5" i="1"/>
  <c r="F5" i="1"/>
  <c r="J5" i="1"/>
  <c r="L5" i="1"/>
  <c r="M5" i="1"/>
  <c r="G10" i="1" l="1"/>
  <c r="F9" i="1"/>
  <c r="D10" i="1"/>
  <c r="E9" i="1"/>
  <c r="F2" i="1"/>
  <c r="E2" i="1"/>
  <c r="G11" i="1" l="1"/>
  <c r="F10" i="1"/>
  <c r="D11" i="1"/>
  <c r="E10" i="1"/>
  <c r="G12" i="1" l="1"/>
  <c r="F11" i="1"/>
  <c r="D12" i="1"/>
  <c r="E11" i="1"/>
  <c r="G13" i="1" l="1"/>
  <c r="F12" i="1"/>
  <c r="D13" i="1"/>
  <c r="E12" i="1"/>
  <c r="G14" i="1" l="1"/>
  <c r="F13" i="1"/>
  <c r="E13" i="1"/>
  <c r="D14" i="1"/>
  <c r="F14" i="1" l="1"/>
  <c r="G15" i="1"/>
  <c r="E14" i="1"/>
  <c r="D15" i="1"/>
  <c r="F15" i="1" l="1"/>
  <c r="G16" i="1"/>
  <c r="D16" i="1"/>
  <c r="E15" i="1"/>
  <c r="F16" i="1" l="1"/>
  <c r="G17" i="1"/>
  <c r="D17" i="1"/>
  <c r="E16" i="1"/>
  <c r="F17" i="1" l="1"/>
  <c r="G18" i="1"/>
  <c r="E17" i="1"/>
  <c r="D18" i="1"/>
  <c r="F18" i="1" l="1"/>
  <c r="G19" i="1"/>
  <c r="D19" i="1"/>
  <c r="E18" i="1"/>
  <c r="F19" i="1" l="1"/>
  <c r="G20" i="1"/>
  <c r="E19" i="1"/>
  <c r="D20" i="1"/>
  <c r="F20" i="1" l="1"/>
  <c r="G21" i="1"/>
  <c r="D21" i="1"/>
  <c r="E20" i="1"/>
  <c r="G22" i="1" l="1"/>
  <c r="F21" i="1"/>
  <c r="D22" i="1"/>
  <c r="E21" i="1"/>
  <c r="F22" i="1" l="1"/>
  <c r="G23" i="1"/>
  <c r="E22" i="1"/>
  <c r="D23" i="1"/>
  <c r="F23" i="1" l="1"/>
  <c r="G24" i="1"/>
  <c r="E23" i="1"/>
  <c r="D24" i="1"/>
  <c r="F24" i="1" l="1"/>
  <c r="G25" i="1"/>
  <c r="E24" i="1"/>
  <c r="D25" i="1"/>
  <c r="F25" i="1" l="1"/>
  <c r="G26" i="1"/>
  <c r="D26" i="1"/>
  <c r="E25" i="1"/>
  <c r="F26" i="1" l="1"/>
  <c r="G27" i="1"/>
  <c r="E26" i="1"/>
  <c r="D27" i="1"/>
  <c r="G28" i="1" l="1"/>
  <c r="F27" i="1"/>
  <c r="D28" i="1"/>
  <c r="E27" i="1"/>
  <c r="F28" i="1" l="1"/>
  <c r="G29" i="1"/>
  <c r="E28" i="1"/>
  <c r="D29" i="1"/>
  <c r="G30" i="1" l="1"/>
  <c r="F29" i="1"/>
  <c r="E29" i="1"/>
  <c r="D30" i="1"/>
  <c r="F30" i="1" l="1"/>
  <c r="G31" i="1"/>
  <c r="D31" i="1"/>
  <c r="E30" i="1"/>
  <c r="F31" i="1" l="1"/>
  <c r="G32" i="1"/>
  <c r="E31" i="1"/>
  <c r="D32" i="1"/>
  <c r="G33" i="1" l="1"/>
  <c r="F32" i="1"/>
  <c r="D33" i="1"/>
  <c r="E32" i="1"/>
  <c r="F33" i="1" l="1"/>
  <c r="G34" i="1"/>
  <c r="E33" i="1"/>
  <c r="D34" i="1"/>
  <c r="G35" i="1" l="1"/>
  <c r="F34" i="1"/>
  <c r="D35" i="1"/>
  <c r="E34" i="1"/>
  <c r="F35" i="1" l="1"/>
  <c r="G36" i="1"/>
  <c r="D36" i="1"/>
  <c r="E35" i="1"/>
  <c r="F36" i="1" l="1"/>
  <c r="G37" i="1"/>
  <c r="E36" i="1"/>
  <c r="D37" i="1"/>
  <c r="G38" i="1" l="1"/>
  <c r="F37" i="1"/>
  <c r="D38" i="1"/>
  <c r="E37" i="1"/>
  <c r="F38" i="1" l="1"/>
  <c r="G39" i="1"/>
  <c r="E38" i="1"/>
  <c r="D39" i="1"/>
  <c r="G40" i="1" l="1"/>
  <c r="F39" i="1"/>
  <c r="E39" i="1"/>
  <c r="D40" i="1"/>
  <c r="G41" i="1" l="1"/>
  <c r="F40" i="1"/>
  <c r="D41" i="1"/>
  <c r="E40" i="1"/>
  <c r="F41" i="1" l="1"/>
  <c r="G42" i="1"/>
  <c r="E41" i="1"/>
  <c r="D42" i="1"/>
  <c r="G43" i="1" l="1"/>
  <c r="F42" i="1"/>
  <c r="D43" i="1"/>
  <c r="E42" i="1"/>
  <c r="F43" i="1" l="1"/>
  <c r="G44" i="1"/>
  <c r="D44" i="1"/>
  <c r="E43" i="1"/>
  <c r="F44" i="1" l="1"/>
  <c r="G45" i="1"/>
  <c r="E44" i="1"/>
  <c r="D45" i="1"/>
  <c r="F45" i="1" l="1"/>
  <c r="G46" i="1"/>
  <c r="D46" i="1"/>
  <c r="E45" i="1"/>
  <c r="F46" i="1" l="1"/>
  <c r="G47" i="1"/>
  <c r="E46" i="1"/>
  <c r="D47" i="1"/>
  <c r="F47" i="1" l="1"/>
  <c r="G48" i="1"/>
  <c r="E47" i="1"/>
  <c r="D48" i="1"/>
  <c r="F48" i="1" l="1"/>
  <c r="G49" i="1"/>
  <c r="E48" i="1"/>
  <c r="D49" i="1"/>
  <c r="F49" i="1" l="1"/>
  <c r="G50" i="1"/>
  <c r="D50" i="1"/>
  <c r="E49" i="1"/>
  <c r="G51" i="1" l="1"/>
  <c r="F50" i="1"/>
  <c r="E50" i="1"/>
  <c r="D51" i="1"/>
  <c r="F51" i="1" l="1"/>
  <c r="G52" i="1"/>
  <c r="D52" i="1"/>
  <c r="E51" i="1"/>
  <c r="F52" i="1" l="1"/>
  <c r="G53" i="1"/>
  <c r="E52" i="1"/>
  <c r="D53" i="1"/>
  <c r="G54" i="1" l="1"/>
  <c r="F53" i="1"/>
  <c r="D54" i="1"/>
  <c r="E53" i="1"/>
  <c r="G55" i="1" l="1"/>
  <c r="F54" i="1"/>
  <c r="E54" i="1"/>
  <c r="D55" i="1"/>
  <c r="G56" i="1" l="1"/>
  <c r="F55" i="1"/>
  <c r="D56" i="1"/>
  <c r="E55" i="1"/>
  <c r="F56" i="1" l="1"/>
  <c r="G57" i="1"/>
  <c r="D57" i="1"/>
  <c r="E56" i="1"/>
  <c r="F57" i="1" l="1"/>
  <c r="G58" i="1"/>
  <c r="E57" i="1"/>
  <c r="D58" i="1"/>
  <c r="G59" i="1" l="1"/>
  <c r="F58" i="1"/>
  <c r="D59" i="1"/>
  <c r="E58" i="1"/>
  <c r="F59" i="1" l="1"/>
  <c r="G60" i="1"/>
  <c r="D60" i="1"/>
  <c r="E59" i="1"/>
  <c r="F60" i="1" l="1"/>
  <c r="G61" i="1"/>
  <c r="E60" i="1"/>
  <c r="D61" i="1"/>
  <c r="G62" i="1" l="1"/>
  <c r="F61" i="1"/>
  <c r="D62" i="1"/>
  <c r="E61" i="1"/>
  <c r="F62" i="1" l="1"/>
  <c r="G63" i="1"/>
  <c r="E62" i="1"/>
  <c r="D63" i="1"/>
  <c r="F63" i="1" l="1"/>
  <c r="G64" i="1"/>
  <c r="F64" i="1" s="1"/>
  <c r="D64" i="1"/>
  <c r="E64" i="1" s="1"/>
  <c r="E63" i="1"/>
</calcChain>
</file>

<file path=xl/sharedStrings.xml><?xml version="1.0" encoding="utf-8"?>
<sst xmlns="http://schemas.openxmlformats.org/spreadsheetml/2006/main" count="267" uniqueCount="41">
  <si>
    <t>Name</t>
  </si>
  <si>
    <t>type</t>
  </si>
  <si>
    <t>centerbin</t>
  </si>
  <si>
    <t>bw_distr_type</t>
  </si>
  <si>
    <t>bw_distr_mean</t>
  </si>
  <si>
    <t>bw_distr_std</t>
  </si>
  <si>
    <t>pwr_distr_type</t>
  </si>
  <si>
    <t>pwr_distr_mean</t>
  </si>
  <si>
    <t>pwr_distr_std</t>
  </si>
  <si>
    <t>J2</t>
  </si>
  <si>
    <t>vbw</t>
  </si>
  <si>
    <t>normal</t>
  </si>
  <si>
    <t>ge_prob_11</t>
  </si>
  <si>
    <t>ge_prob_12</t>
  </si>
  <si>
    <t>ge_prob_21</t>
  </si>
  <si>
    <t>ge_prob_22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</si>
  <si>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</si>
  <si>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</si>
  <si>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</si>
  <si>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</si>
  <si>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</si>
  <si>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</si>
  <si>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</si>
  <si>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</si>
  <si>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</si>
  <si>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</si>
  <si>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</si>
  <si>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</si>
  <si>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</si>
  <si>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</si>
  <si>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</si>
  <si>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pwr_shaping</t>
  </si>
  <si>
    <t>pwr_shaping_std</t>
  </si>
  <si>
    <t>flat</t>
  </si>
  <si>
    <t>wideband switching</t>
  </si>
  <si>
    <t>J3</t>
  </si>
  <si>
    <t>J4</t>
  </si>
  <si>
    <t>J5</t>
  </si>
  <si>
    <t>J6</t>
  </si>
  <si>
    <t>C1</t>
  </si>
  <si>
    <t>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</si>
</sst>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84"/>
  <sheetViews>
    <sheetView tabSelected="1" topLeftCell="C1" workbookViewId="0">
      <selection activeCell="G38" sqref="G38"/>
    </sheetView>
  </sheetViews>
  <sheetFormatPr defaultColWidth="17.28515625" defaultRowHeight="15" x14ac:dyDescent="0.25"/>
  <cols>
    <col min="1" max="1" width="22.28515625" style="1" customWidth="1"/>
    <col min="2" max="16384" width="17.28515625" style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31</v>
      </c>
      <c r="O1" s="1" t="s">
        <v>32</v>
      </c>
    </row>
    <row r="2" spans="1:15" x14ac:dyDescent="0.25">
      <c r="A2" s="1" t="s">
        <v>34</v>
      </c>
      <c r="B2" s="1" t="s">
        <v>10</v>
      </c>
      <c r="C2" s="1">
        <v>512</v>
      </c>
      <c r="D2" s="2">
        <v>0.96499999999999997</v>
      </c>
      <c r="E2" s="2">
        <f t="shared" ref="E2:E5" si="0">1-D2</f>
        <v>3.5000000000000031E-2</v>
      </c>
      <c r="F2" s="2">
        <f t="shared" ref="F2:F5" si="1">1-G2</f>
        <v>3.5000000000000031E-2</v>
      </c>
      <c r="G2" s="2">
        <v>0.96499999999999997</v>
      </c>
      <c r="H2" s="1" t="s">
        <v>33</v>
      </c>
      <c r="I2" s="1">
        <v>-1</v>
      </c>
      <c r="J2" s="1">
        <v>-1</v>
      </c>
      <c r="K2" s="1" t="s">
        <v>11</v>
      </c>
      <c r="L2" s="2">
        <v>-10</v>
      </c>
      <c r="M2" s="2">
        <v>2</v>
      </c>
      <c r="N2" s="1">
        <v>0</v>
      </c>
      <c r="O2" s="1">
        <v>0</v>
      </c>
    </row>
    <row r="3" spans="1:15" x14ac:dyDescent="0.25">
      <c r="A3" s="1" t="s">
        <v>39</v>
      </c>
      <c r="B3" s="1" t="s">
        <v>10</v>
      </c>
      <c r="C3" s="1">
        <f t="shared" ref="C3:C4" ca="1" si="2">RANDBETWEEN(1,1024)</f>
        <v>548</v>
      </c>
      <c r="D3" s="2">
        <v>0</v>
      </c>
      <c r="E3" s="2">
        <v>1</v>
      </c>
      <c r="F3" s="2">
        <v>0</v>
      </c>
      <c r="G3" s="2">
        <v>1</v>
      </c>
      <c r="H3" s="1" t="s">
        <v>11</v>
      </c>
      <c r="I3" s="2">
        <f ca="1">RANDBETWEEN(100,200)</f>
        <v>149</v>
      </c>
      <c r="J3" s="2">
        <f ca="1">RANDBETWEEN(10,50)</f>
        <v>44</v>
      </c>
      <c r="K3" s="1" t="s">
        <v>11</v>
      </c>
      <c r="L3" s="2">
        <v>0</v>
      </c>
      <c r="M3" s="2">
        <v>6</v>
      </c>
      <c r="N3" s="1">
        <v>1</v>
      </c>
      <c r="O3" s="1">
        <v>30</v>
      </c>
    </row>
    <row r="4" spans="1:15" x14ac:dyDescent="0.25">
      <c r="A4" s="1" t="s">
        <v>40</v>
      </c>
      <c r="B4" s="1" t="s">
        <v>10</v>
      </c>
      <c r="C4" s="1">
        <f t="shared" ca="1" si="2"/>
        <v>350</v>
      </c>
      <c r="D4" s="2">
        <v>0</v>
      </c>
      <c r="E4" s="2">
        <v>1</v>
      </c>
      <c r="F4" s="2">
        <v>0</v>
      </c>
      <c r="G4" s="2">
        <v>1</v>
      </c>
      <c r="H4" s="1" t="s">
        <v>11</v>
      </c>
      <c r="I4" s="2">
        <f ca="1">RANDBETWEEN(100,200)</f>
        <v>109</v>
      </c>
      <c r="J4" s="2">
        <f ca="1">RANDBETWEEN(10,50)</f>
        <v>21</v>
      </c>
      <c r="K4" s="1" t="s">
        <v>11</v>
      </c>
      <c r="L4" s="2">
        <v>0</v>
      </c>
      <c r="M4" s="2">
        <v>6</v>
      </c>
      <c r="N4" s="1">
        <v>0</v>
      </c>
      <c r="O4" s="1">
        <v>0</v>
      </c>
    </row>
    <row r="5" spans="1:15" x14ac:dyDescent="0.25">
      <c r="A5" s="1" t="s">
        <v>9</v>
      </c>
      <c r="B5" s="1" t="s">
        <v>10</v>
      </c>
      <c r="C5" s="1">
        <f ca="1">RANDBETWEEN(1,1024)</f>
        <v>844</v>
      </c>
      <c r="D5" s="2">
        <v>0.96</v>
      </c>
      <c r="E5" s="2">
        <f t="shared" si="0"/>
        <v>4.0000000000000036E-2</v>
      </c>
      <c r="F5" s="2">
        <f t="shared" si="1"/>
        <v>0.44999999999999996</v>
      </c>
      <c r="G5" s="2">
        <v>0.55000000000000004</v>
      </c>
      <c r="H5" s="1" t="s">
        <v>11</v>
      </c>
      <c r="I5" s="1">
        <f ca="1">RANDBETWEEN(1,30)</f>
        <v>19</v>
      </c>
      <c r="J5" s="2">
        <f ca="1">RAND()*3</f>
        <v>2.5355204266408773</v>
      </c>
      <c r="K5" s="1" t="s">
        <v>11</v>
      </c>
      <c r="L5" s="1">
        <f ca="1">RANDBETWEEN(-10,10)</f>
        <v>-5</v>
      </c>
      <c r="M5" s="2">
        <f ca="1">RAND()*3</f>
        <v>1.6653379001600443</v>
      </c>
      <c r="N5" s="1">
        <v>0</v>
      </c>
      <c r="O5" s="1">
        <v>0</v>
      </c>
    </row>
    <row r="6" spans="1:15" x14ac:dyDescent="0.25">
      <c r="A6" s="1" t="s">
        <v>35</v>
      </c>
      <c r="B6" s="1" t="s">
        <v>10</v>
      </c>
      <c r="C6" s="1">
        <f t="shared" ref="C6:C64" ca="1" si="3">RANDBETWEEN(1,1024)</f>
        <v>205</v>
      </c>
      <c r="D6" s="2">
        <f>D5</f>
        <v>0.96</v>
      </c>
      <c r="E6" s="2">
        <f t="shared" ref="E6:E14" si="4">1-D6</f>
        <v>4.0000000000000036E-2</v>
      </c>
      <c r="F6" s="2">
        <f t="shared" ref="F6:F14" si="5">1-G6</f>
        <v>0.44999999999999996</v>
      </c>
      <c r="G6" s="2">
        <f>G5</f>
        <v>0.55000000000000004</v>
      </c>
      <c r="H6" s="1" t="s">
        <v>11</v>
      </c>
      <c r="I6" s="1">
        <f t="shared" ref="I6:I64" ca="1" si="6">RANDBETWEEN(1,30)</f>
        <v>5</v>
      </c>
      <c r="J6" s="2">
        <f t="shared" ref="J6:J64" ca="1" si="7">RAND()*3</f>
        <v>1.4914233490627236</v>
      </c>
      <c r="K6" s="1" t="s">
        <v>11</v>
      </c>
      <c r="L6" s="1">
        <f t="shared" ref="L6:L64" ca="1" si="8">RANDBETWEEN(-10,10)</f>
        <v>4</v>
      </c>
      <c r="M6" s="2">
        <f t="shared" ref="M6:M64" ca="1" si="9">RAND()*3</f>
        <v>1.588903666879677</v>
      </c>
      <c r="N6" s="1">
        <v>0</v>
      </c>
      <c r="O6" s="1">
        <v>0</v>
      </c>
    </row>
    <row r="7" spans="1:15" x14ac:dyDescent="0.25">
      <c r="A7" s="1" t="s">
        <v>36</v>
      </c>
      <c r="B7" s="1" t="s">
        <v>10</v>
      </c>
      <c r="C7" s="1">
        <f t="shared" ca="1" si="3"/>
        <v>302</v>
      </c>
      <c r="D7" s="2">
        <f t="shared" ref="D7:D14" si="10">D6</f>
        <v>0.96</v>
      </c>
      <c r="E7" s="2">
        <f t="shared" si="4"/>
        <v>4.0000000000000036E-2</v>
      </c>
      <c r="F7" s="2">
        <f t="shared" si="5"/>
        <v>0.44999999999999996</v>
      </c>
      <c r="G7" s="2">
        <f t="shared" ref="G7:G14" si="11">G6</f>
        <v>0.55000000000000004</v>
      </c>
      <c r="H7" s="1" t="s">
        <v>11</v>
      </c>
      <c r="I7" s="1">
        <f t="shared" ca="1" si="6"/>
        <v>10</v>
      </c>
      <c r="J7" s="2">
        <f t="shared" ca="1" si="7"/>
        <v>1.7390508346335798</v>
      </c>
      <c r="K7" s="1" t="s">
        <v>11</v>
      </c>
      <c r="L7" s="1">
        <f t="shared" ca="1" si="8"/>
        <v>-2</v>
      </c>
      <c r="M7" s="2">
        <f t="shared" ca="1" si="9"/>
        <v>2.3610651894806827</v>
      </c>
      <c r="N7" s="1">
        <v>0</v>
      </c>
      <c r="O7" s="1">
        <v>0</v>
      </c>
    </row>
    <row r="8" spans="1:15" x14ac:dyDescent="0.25">
      <c r="A8" s="1" t="s">
        <v>37</v>
      </c>
      <c r="B8" s="1" t="s">
        <v>10</v>
      </c>
      <c r="C8" s="1">
        <f t="shared" ca="1" si="3"/>
        <v>752</v>
      </c>
      <c r="D8" s="2">
        <f t="shared" si="10"/>
        <v>0.96</v>
      </c>
      <c r="E8" s="2">
        <f t="shared" si="4"/>
        <v>4.0000000000000036E-2</v>
      </c>
      <c r="F8" s="2">
        <f t="shared" si="5"/>
        <v>0.44999999999999996</v>
      </c>
      <c r="G8" s="2">
        <f t="shared" si="11"/>
        <v>0.55000000000000004</v>
      </c>
      <c r="H8" s="1" t="s">
        <v>11</v>
      </c>
      <c r="I8" s="1">
        <f t="shared" ca="1" si="6"/>
        <v>13</v>
      </c>
      <c r="J8" s="2">
        <f t="shared" ca="1" si="7"/>
        <v>2.0082551563515953</v>
      </c>
      <c r="K8" s="1" t="s">
        <v>11</v>
      </c>
      <c r="L8" s="1">
        <f t="shared" ca="1" si="8"/>
        <v>3</v>
      </c>
      <c r="M8" s="2">
        <f t="shared" ca="1" si="9"/>
        <v>0.54052786324533209</v>
      </c>
      <c r="N8" s="1">
        <v>0</v>
      </c>
      <c r="O8" s="1">
        <v>0</v>
      </c>
    </row>
    <row r="9" spans="1:15" x14ac:dyDescent="0.25">
      <c r="A9" s="1" t="s">
        <v>38</v>
      </c>
      <c r="B9" s="1" t="s">
        <v>10</v>
      </c>
      <c r="C9" s="1">
        <f t="shared" ca="1" si="3"/>
        <v>722</v>
      </c>
      <c r="D9" s="2">
        <f t="shared" si="10"/>
        <v>0.96</v>
      </c>
      <c r="E9" s="2">
        <f t="shared" si="4"/>
        <v>4.0000000000000036E-2</v>
      </c>
      <c r="F9" s="2">
        <f t="shared" si="5"/>
        <v>0.44999999999999996</v>
      </c>
      <c r="G9" s="2">
        <f t="shared" si="11"/>
        <v>0.55000000000000004</v>
      </c>
      <c r="H9" s="1" t="s">
        <v>11</v>
      </c>
      <c r="I9" s="1">
        <f t="shared" ca="1" si="6"/>
        <v>25</v>
      </c>
      <c r="J9" s="2">
        <f t="shared" ca="1" si="7"/>
        <v>0.54720840943222993</v>
      </c>
      <c r="K9" s="1" t="s">
        <v>11</v>
      </c>
      <c r="L9" s="1">
        <f t="shared" ca="1" si="8"/>
        <v>-8</v>
      </c>
      <c r="M9" s="2">
        <f t="shared" ca="1" si="9"/>
        <v>2.5321201400733013</v>
      </c>
      <c r="N9" s="1">
        <v>0</v>
      </c>
      <c r="O9" s="1">
        <v>0</v>
      </c>
    </row>
    <row r="10" spans="1:15" x14ac:dyDescent="0.25">
      <c r="A10" s="1" t="s">
        <v>16</v>
      </c>
      <c r="B10" s="1" t="s">
        <v>10</v>
      </c>
      <c r="C10" s="1">
        <f t="shared" ca="1" si="3"/>
        <v>228</v>
      </c>
      <c r="D10" s="2">
        <f t="shared" si="10"/>
        <v>0.96</v>
      </c>
      <c r="E10" s="2">
        <f t="shared" si="4"/>
        <v>4.0000000000000036E-2</v>
      </c>
      <c r="F10" s="2">
        <f t="shared" si="5"/>
        <v>0.44999999999999996</v>
      </c>
      <c r="G10" s="2">
        <f t="shared" si="11"/>
        <v>0.55000000000000004</v>
      </c>
      <c r="H10" s="1" t="s">
        <v>11</v>
      </c>
      <c r="I10" s="1">
        <f t="shared" ca="1" si="6"/>
        <v>1</v>
      </c>
      <c r="J10" s="2">
        <f t="shared" ca="1" si="7"/>
        <v>2.0580831334672789</v>
      </c>
      <c r="K10" s="1" t="s">
        <v>11</v>
      </c>
      <c r="L10" s="1">
        <f t="shared" ca="1" si="8"/>
        <v>4</v>
      </c>
      <c r="M10" s="2">
        <f t="shared" ca="1" si="9"/>
        <v>1.1608757818341315</v>
      </c>
      <c r="N10" s="1">
        <v>0</v>
      </c>
      <c r="O10" s="1">
        <v>0</v>
      </c>
    </row>
    <row r="11" spans="1:15" x14ac:dyDescent="0.25">
      <c r="A11" s="1" t="s">
        <v>17</v>
      </c>
      <c r="B11" s="1" t="s">
        <v>10</v>
      </c>
      <c r="C11" s="1">
        <f t="shared" ca="1" si="3"/>
        <v>439</v>
      </c>
      <c r="D11" s="2">
        <f t="shared" si="10"/>
        <v>0.96</v>
      </c>
      <c r="E11" s="2">
        <f t="shared" si="4"/>
        <v>4.0000000000000036E-2</v>
      </c>
      <c r="F11" s="2">
        <f t="shared" si="5"/>
        <v>0.44999999999999996</v>
      </c>
      <c r="G11" s="2">
        <f t="shared" si="11"/>
        <v>0.55000000000000004</v>
      </c>
      <c r="H11" s="1" t="s">
        <v>11</v>
      </c>
      <c r="I11" s="1">
        <f t="shared" ca="1" si="6"/>
        <v>15</v>
      </c>
      <c r="J11" s="2">
        <f t="shared" ca="1" si="7"/>
        <v>2.8825416279509399</v>
      </c>
      <c r="K11" s="1" t="s">
        <v>11</v>
      </c>
      <c r="L11" s="1">
        <f t="shared" ca="1" si="8"/>
        <v>1</v>
      </c>
      <c r="M11" s="2">
        <f t="shared" ca="1" si="9"/>
        <v>8.7330930987876698E-2</v>
      </c>
      <c r="N11" s="1">
        <v>0</v>
      </c>
      <c r="O11" s="1">
        <v>0</v>
      </c>
    </row>
    <row r="12" spans="1:15" x14ac:dyDescent="0.25">
      <c r="A12" s="1" t="s">
        <v>18</v>
      </c>
      <c r="B12" s="1" t="s">
        <v>10</v>
      </c>
      <c r="C12" s="1">
        <f ca="1">RANDBETWEEN(1,1024)</f>
        <v>579</v>
      </c>
      <c r="D12" s="2">
        <f t="shared" si="10"/>
        <v>0.96</v>
      </c>
      <c r="E12" s="2">
        <f t="shared" si="4"/>
        <v>4.0000000000000036E-2</v>
      </c>
      <c r="F12" s="2">
        <f t="shared" si="5"/>
        <v>0.44999999999999996</v>
      </c>
      <c r="G12" s="2">
        <f t="shared" si="11"/>
        <v>0.55000000000000004</v>
      </c>
      <c r="H12" s="1" t="s">
        <v>11</v>
      </c>
      <c r="I12" s="1">
        <f t="shared" ca="1" si="6"/>
        <v>17</v>
      </c>
      <c r="J12" s="2">
        <f t="shared" ca="1" si="7"/>
        <v>1.678777987948775</v>
      </c>
      <c r="K12" s="1" t="s">
        <v>11</v>
      </c>
      <c r="L12" s="1">
        <f t="shared" ca="1" si="8"/>
        <v>6</v>
      </c>
      <c r="M12" s="2">
        <f t="shared" ca="1" si="9"/>
        <v>2.9613909876633699</v>
      </c>
      <c r="N12" s="1">
        <v>0</v>
      </c>
      <c r="O12" s="1">
        <v>0</v>
      </c>
    </row>
    <row r="13" spans="1:15" x14ac:dyDescent="0.25">
      <c r="A13" s="1" t="s">
        <v>19</v>
      </c>
      <c r="B13" s="1" t="s">
        <v>10</v>
      </c>
      <c r="C13" s="1">
        <f t="shared" ca="1" si="3"/>
        <v>908</v>
      </c>
      <c r="D13" s="2">
        <f t="shared" si="10"/>
        <v>0.96</v>
      </c>
      <c r="E13" s="2">
        <f t="shared" si="4"/>
        <v>4.0000000000000036E-2</v>
      </c>
      <c r="F13" s="2">
        <f t="shared" si="5"/>
        <v>0.44999999999999996</v>
      </c>
      <c r="G13" s="2">
        <f t="shared" si="11"/>
        <v>0.55000000000000004</v>
      </c>
      <c r="H13" s="1" t="s">
        <v>11</v>
      </c>
      <c r="I13" s="1">
        <f t="shared" ca="1" si="6"/>
        <v>20</v>
      </c>
      <c r="J13" s="2">
        <f t="shared" ca="1" si="7"/>
        <v>1.7056737397316937</v>
      </c>
      <c r="K13" s="1" t="s">
        <v>11</v>
      </c>
      <c r="L13" s="1">
        <f t="shared" ca="1" si="8"/>
        <v>8</v>
      </c>
      <c r="M13" s="2">
        <f t="shared" ca="1" si="9"/>
        <v>2.4738603196659059</v>
      </c>
      <c r="N13" s="1">
        <v>0</v>
      </c>
      <c r="O13" s="1">
        <v>0</v>
      </c>
    </row>
    <row r="14" spans="1:15" x14ac:dyDescent="0.25">
      <c r="A14" s="1" t="s">
        <v>20</v>
      </c>
      <c r="B14" s="1" t="s">
        <v>10</v>
      </c>
      <c r="C14" s="1">
        <f t="shared" ca="1" si="3"/>
        <v>703</v>
      </c>
      <c r="D14" s="2">
        <f t="shared" si="10"/>
        <v>0.96</v>
      </c>
      <c r="E14" s="2">
        <f t="shared" si="4"/>
        <v>4.0000000000000036E-2</v>
      </c>
      <c r="F14" s="2">
        <f t="shared" si="5"/>
        <v>0.44999999999999996</v>
      </c>
      <c r="G14" s="2">
        <f t="shared" si="11"/>
        <v>0.55000000000000004</v>
      </c>
      <c r="H14" s="1" t="s">
        <v>11</v>
      </c>
      <c r="I14" s="1">
        <f t="shared" ca="1" si="6"/>
        <v>25</v>
      </c>
      <c r="J14" s="2">
        <f t="shared" ca="1" si="7"/>
        <v>2.7987400617385414</v>
      </c>
      <c r="K14" s="1" t="s">
        <v>11</v>
      </c>
      <c r="L14" s="1">
        <f t="shared" ca="1" si="8"/>
        <v>-8</v>
      </c>
      <c r="M14" s="2">
        <f t="shared" ca="1" si="9"/>
        <v>0.43291847648442905</v>
      </c>
      <c r="N14" s="1">
        <v>0</v>
      </c>
      <c r="O14" s="1">
        <v>0</v>
      </c>
    </row>
    <row r="15" spans="1:15" x14ac:dyDescent="0.25">
      <c r="A15" s="1" t="s">
        <v>21</v>
      </c>
      <c r="B15" s="1" t="s">
        <v>10</v>
      </c>
      <c r="C15" s="1">
        <f t="shared" ca="1" si="3"/>
        <v>625</v>
      </c>
      <c r="D15" s="2">
        <f t="shared" ref="D15:D22" si="12">D14</f>
        <v>0.96</v>
      </c>
      <c r="E15" s="2">
        <f t="shared" ref="E15:E22" si="13">1-D15</f>
        <v>4.0000000000000036E-2</v>
      </c>
      <c r="F15" s="2">
        <f t="shared" ref="F15:F22" si="14">1-G15</f>
        <v>0.44999999999999996</v>
      </c>
      <c r="G15" s="2">
        <f t="shared" ref="G15:G22" si="15">G14</f>
        <v>0.55000000000000004</v>
      </c>
      <c r="H15" s="1" t="s">
        <v>11</v>
      </c>
      <c r="I15" s="1">
        <f t="shared" ca="1" si="6"/>
        <v>21</v>
      </c>
      <c r="J15" s="2">
        <f t="shared" ca="1" si="7"/>
        <v>1.2065592120805468</v>
      </c>
      <c r="K15" s="1" t="s">
        <v>11</v>
      </c>
      <c r="L15" s="1">
        <f t="shared" ca="1" si="8"/>
        <v>0</v>
      </c>
      <c r="M15" s="2">
        <f t="shared" ca="1" si="9"/>
        <v>1.8723546553624795</v>
      </c>
      <c r="N15" s="1">
        <v>0</v>
      </c>
      <c r="O15" s="1">
        <v>0</v>
      </c>
    </row>
    <row r="16" spans="1:15" x14ac:dyDescent="0.25">
      <c r="A16" s="1" t="s">
        <v>22</v>
      </c>
      <c r="B16" s="1" t="s">
        <v>10</v>
      </c>
      <c r="C16" s="1">
        <f t="shared" ca="1" si="3"/>
        <v>698</v>
      </c>
      <c r="D16" s="2">
        <f t="shared" si="12"/>
        <v>0.96</v>
      </c>
      <c r="E16" s="2">
        <f t="shared" si="13"/>
        <v>4.0000000000000036E-2</v>
      </c>
      <c r="F16" s="2">
        <f t="shared" si="14"/>
        <v>0.44999999999999996</v>
      </c>
      <c r="G16" s="2">
        <f t="shared" si="15"/>
        <v>0.55000000000000004</v>
      </c>
      <c r="H16" s="1" t="s">
        <v>11</v>
      </c>
      <c r="I16" s="1">
        <f t="shared" ca="1" si="6"/>
        <v>28</v>
      </c>
      <c r="J16" s="2">
        <f t="shared" ca="1" si="7"/>
        <v>2.1386629023914709</v>
      </c>
      <c r="K16" s="1" t="s">
        <v>11</v>
      </c>
      <c r="L16" s="1">
        <f t="shared" ca="1" si="8"/>
        <v>-7</v>
      </c>
      <c r="M16" s="2">
        <f t="shared" ca="1" si="9"/>
        <v>0.10879895104104398</v>
      </c>
      <c r="N16" s="1">
        <v>0</v>
      </c>
      <c r="O16" s="1">
        <v>0</v>
      </c>
    </row>
    <row r="17" spans="1:15" x14ac:dyDescent="0.25">
      <c r="A17" s="1" t="s">
        <v>23</v>
      </c>
      <c r="B17" s="1" t="s">
        <v>10</v>
      </c>
      <c r="C17" s="1">
        <f t="shared" ca="1" si="3"/>
        <v>633</v>
      </c>
      <c r="D17" s="2">
        <f t="shared" si="12"/>
        <v>0.96</v>
      </c>
      <c r="E17" s="2">
        <f t="shared" si="13"/>
        <v>4.0000000000000036E-2</v>
      </c>
      <c r="F17" s="2">
        <f t="shared" si="14"/>
        <v>0.44999999999999996</v>
      </c>
      <c r="G17" s="2">
        <f t="shared" si="15"/>
        <v>0.55000000000000004</v>
      </c>
      <c r="H17" s="1" t="s">
        <v>11</v>
      </c>
      <c r="I17" s="1">
        <f t="shared" ca="1" si="6"/>
        <v>9</v>
      </c>
      <c r="J17" s="2">
        <f t="shared" ca="1" si="7"/>
        <v>1.4315588511726642</v>
      </c>
      <c r="K17" s="1" t="s">
        <v>11</v>
      </c>
      <c r="L17" s="1">
        <f t="shared" ca="1" si="8"/>
        <v>5</v>
      </c>
      <c r="M17" s="2">
        <f t="shared" ca="1" si="9"/>
        <v>1.0420017835125837</v>
      </c>
      <c r="N17" s="1">
        <v>0</v>
      </c>
      <c r="O17" s="1">
        <v>0</v>
      </c>
    </row>
    <row r="18" spans="1:15" x14ac:dyDescent="0.25">
      <c r="A18" s="1" t="s">
        <v>24</v>
      </c>
      <c r="B18" s="1" t="s">
        <v>10</v>
      </c>
      <c r="C18" s="1">
        <f t="shared" ca="1" si="3"/>
        <v>42</v>
      </c>
      <c r="D18" s="2">
        <f t="shared" si="12"/>
        <v>0.96</v>
      </c>
      <c r="E18" s="2">
        <f t="shared" si="13"/>
        <v>4.0000000000000036E-2</v>
      </c>
      <c r="F18" s="2">
        <f t="shared" si="14"/>
        <v>0.44999999999999996</v>
      </c>
      <c r="G18" s="2">
        <f t="shared" si="15"/>
        <v>0.55000000000000004</v>
      </c>
      <c r="H18" s="1" t="s">
        <v>11</v>
      </c>
      <c r="I18" s="1">
        <f t="shared" ca="1" si="6"/>
        <v>12</v>
      </c>
      <c r="J18" s="2">
        <f t="shared" ca="1" si="7"/>
        <v>1.7592753523758637</v>
      </c>
      <c r="K18" s="1" t="s">
        <v>11</v>
      </c>
      <c r="L18" s="1">
        <f t="shared" ca="1" si="8"/>
        <v>5</v>
      </c>
      <c r="M18" s="2">
        <f t="shared" ca="1" si="9"/>
        <v>2.2497308282739947</v>
      </c>
      <c r="N18" s="1">
        <v>0</v>
      </c>
      <c r="O18" s="1">
        <v>0</v>
      </c>
    </row>
    <row r="19" spans="1:15" x14ac:dyDescent="0.25">
      <c r="A19" s="1" t="s">
        <v>25</v>
      </c>
      <c r="B19" s="1" t="s">
        <v>10</v>
      </c>
      <c r="C19" s="1">
        <f t="shared" ca="1" si="3"/>
        <v>245</v>
      </c>
      <c r="D19" s="2">
        <f t="shared" si="12"/>
        <v>0.96</v>
      </c>
      <c r="E19" s="2">
        <f t="shared" si="13"/>
        <v>4.0000000000000036E-2</v>
      </c>
      <c r="F19" s="2">
        <f t="shared" si="14"/>
        <v>0.44999999999999996</v>
      </c>
      <c r="G19" s="2">
        <f t="shared" si="15"/>
        <v>0.55000000000000004</v>
      </c>
      <c r="H19" s="1" t="s">
        <v>11</v>
      </c>
      <c r="I19" s="1">
        <f t="shared" ca="1" si="6"/>
        <v>29</v>
      </c>
      <c r="J19" s="2">
        <f t="shared" ca="1" si="7"/>
        <v>2.4513319578711736</v>
      </c>
      <c r="K19" s="1" t="s">
        <v>11</v>
      </c>
      <c r="L19" s="1">
        <f t="shared" ca="1" si="8"/>
        <v>6</v>
      </c>
      <c r="M19" s="2">
        <f t="shared" ca="1" si="9"/>
        <v>1.526328876571696</v>
      </c>
      <c r="N19" s="1">
        <v>0</v>
      </c>
      <c r="O19" s="1">
        <v>0</v>
      </c>
    </row>
    <row r="20" spans="1:15" x14ac:dyDescent="0.25">
      <c r="A20" s="1" t="s">
        <v>26</v>
      </c>
      <c r="B20" s="1" t="s">
        <v>10</v>
      </c>
      <c r="C20" s="1">
        <f t="shared" ca="1" si="3"/>
        <v>77</v>
      </c>
      <c r="D20" s="2">
        <f t="shared" si="12"/>
        <v>0.96</v>
      </c>
      <c r="E20" s="2">
        <f t="shared" si="13"/>
        <v>4.0000000000000036E-2</v>
      </c>
      <c r="F20" s="2">
        <f t="shared" si="14"/>
        <v>0.44999999999999996</v>
      </c>
      <c r="G20" s="2">
        <f t="shared" si="15"/>
        <v>0.55000000000000004</v>
      </c>
      <c r="H20" s="1" t="s">
        <v>11</v>
      </c>
      <c r="I20" s="1">
        <f t="shared" ca="1" si="6"/>
        <v>14</v>
      </c>
      <c r="J20" s="2">
        <f t="shared" ca="1" si="7"/>
        <v>2.6487257846600709</v>
      </c>
      <c r="K20" s="1" t="s">
        <v>11</v>
      </c>
      <c r="L20" s="1">
        <f t="shared" ca="1" si="8"/>
        <v>8</v>
      </c>
      <c r="M20" s="2">
        <f t="shared" ca="1" si="9"/>
        <v>1.7084127875175872</v>
      </c>
      <c r="N20" s="1">
        <v>0</v>
      </c>
      <c r="O20" s="1">
        <v>0</v>
      </c>
    </row>
    <row r="21" spans="1:15" x14ac:dyDescent="0.25">
      <c r="A21" s="1" t="s">
        <v>27</v>
      </c>
      <c r="B21" s="1" t="s">
        <v>10</v>
      </c>
      <c r="C21" s="1">
        <f t="shared" ca="1" si="3"/>
        <v>612</v>
      </c>
      <c r="D21" s="2">
        <f t="shared" si="12"/>
        <v>0.96</v>
      </c>
      <c r="E21" s="2">
        <f t="shared" si="13"/>
        <v>4.0000000000000036E-2</v>
      </c>
      <c r="F21" s="2">
        <f t="shared" si="14"/>
        <v>0.44999999999999996</v>
      </c>
      <c r="G21" s="2">
        <f t="shared" si="15"/>
        <v>0.55000000000000004</v>
      </c>
      <c r="H21" s="1" t="s">
        <v>11</v>
      </c>
      <c r="I21" s="1">
        <f t="shared" ca="1" si="6"/>
        <v>27</v>
      </c>
      <c r="J21" s="2">
        <f t="shared" ca="1" si="7"/>
        <v>1.4158128707536934</v>
      </c>
      <c r="K21" s="1" t="s">
        <v>11</v>
      </c>
      <c r="L21" s="1">
        <f t="shared" ca="1" si="8"/>
        <v>-9</v>
      </c>
      <c r="M21" s="2">
        <f t="shared" ca="1" si="9"/>
        <v>1.9352264033611115</v>
      </c>
      <c r="N21" s="1">
        <v>0</v>
      </c>
      <c r="O21" s="1">
        <v>0</v>
      </c>
    </row>
    <row r="22" spans="1:15" x14ac:dyDescent="0.25">
      <c r="A22" s="1" t="s">
        <v>28</v>
      </c>
      <c r="B22" s="1" t="s">
        <v>10</v>
      </c>
      <c r="C22" s="1">
        <f t="shared" ca="1" si="3"/>
        <v>413</v>
      </c>
      <c r="D22" s="2">
        <f t="shared" si="12"/>
        <v>0.96</v>
      </c>
      <c r="E22" s="2">
        <f t="shared" si="13"/>
        <v>4.0000000000000036E-2</v>
      </c>
      <c r="F22" s="2">
        <f t="shared" si="14"/>
        <v>0.44999999999999996</v>
      </c>
      <c r="G22" s="2">
        <f t="shared" si="15"/>
        <v>0.55000000000000004</v>
      </c>
      <c r="H22" s="1" t="s">
        <v>11</v>
      </c>
      <c r="I22" s="1">
        <f t="shared" ca="1" si="6"/>
        <v>3</v>
      </c>
      <c r="J22" s="2">
        <f t="shared" ca="1" si="7"/>
        <v>2.7053762513706063</v>
      </c>
      <c r="K22" s="1" t="s">
        <v>11</v>
      </c>
      <c r="L22" s="1">
        <f t="shared" ca="1" si="8"/>
        <v>-1</v>
      </c>
      <c r="M22" s="2">
        <f t="shared" ca="1" si="9"/>
        <v>0.25649224262277615</v>
      </c>
      <c r="N22" s="1">
        <v>0</v>
      </c>
      <c r="O22" s="1">
        <v>0</v>
      </c>
    </row>
    <row r="23" spans="1:15" x14ac:dyDescent="0.25">
      <c r="A23" s="1" t="s">
        <v>29</v>
      </c>
      <c r="B23" s="1" t="s">
        <v>10</v>
      </c>
      <c r="C23" s="1">
        <f t="shared" ca="1" si="3"/>
        <v>234</v>
      </c>
      <c r="D23" s="2">
        <f t="shared" ref="D23:D64" si="16">D22</f>
        <v>0.96</v>
      </c>
      <c r="E23" s="2">
        <f t="shared" ref="E23:E24" si="17">1-D23</f>
        <v>4.0000000000000036E-2</v>
      </c>
      <c r="F23" s="2">
        <f t="shared" ref="F23:F24" si="18">1-G23</f>
        <v>0.44999999999999996</v>
      </c>
      <c r="G23" s="2">
        <f t="shared" ref="G23:G64" si="19">G22</f>
        <v>0.55000000000000004</v>
      </c>
      <c r="H23" s="1" t="s">
        <v>11</v>
      </c>
      <c r="I23" s="1">
        <f t="shared" ca="1" si="6"/>
        <v>11</v>
      </c>
      <c r="J23" s="2">
        <f t="shared" ca="1" si="7"/>
        <v>2.2122349284359846</v>
      </c>
      <c r="K23" s="1" t="s">
        <v>11</v>
      </c>
      <c r="L23" s="1">
        <f t="shared" ca="1" si="8"/>
        <v>-9</v>
      </c>
      <c r="M23" s="2">
        <f t="shared" ca="1" si="9"/>
        <v>0.80822716653533389</v>
      </c>
      <c r="N23" s="1">
        <v>0</v>
      </c>
      <c r="O23" s="1">
        <v>0</v>
      </c>
    </row>
    <row r="24" spans="1:15" x14ac:dyDescent="0.25">
      <c r="A24" s="1" t="s">
        <v>30</v>
      </c>
      <c r="B24" s="1" t="s">
        <v>10</v>
      </c>
      <c r="C24" s="1">
        <f t="shared" ca="1" si="3"/>
        <v>147</v>
      </c>
      <c r="D24" s="2">
        <f t="shared" si="16"/>
        <v>0.96</v>
      </c>
      <c r="E24" s="2">
        <f t="shared" si="17"/>
        <v>4.0000000000000036E-2</v>
      </c>
      <c r="F24" s="2">
        <f t="shared" si="18"/>
        <v>0.44999999999999996</v>
      </c>
      <c r="G24" s="2">
        <f t="shared" si="19"/>
        <v>0.55000000000000004</v>
      </c>
      <c r="H24" s="1" t="s">
        <v>11</v>
      </c>
      <c r="I24" s="1">
        <f t="shared" ca="1" si="6"/>
        <v>10</v>
      </c>
      <c r="J24" s="2">
        <f t="shared" ca="1" si="7"/>
        <v>2.1603764348707357</v>
      </c>
      <c r="K24" s="1" t="s">
        <v>11</v>
      </c>
      <c r="L24" s="1">
        <f t="shared" ca="1" si="8"/>
        <v>-4</v>
      </c>
      <c r="M24" s="2">
        <f t="shared" ca="1" si="9"/>
        <v>0.54082831881902282</v>
      </c>
      <c r="N24" s="1">
        <v>0</v>
      </c>
      <c r="O24" s="1">
        <v>0</v>
      </c>
    </row>
    <row r="25" spans="1:15" x14ac:dyDescent="0.25">
      <c r="A25" s="1" t="s">
        <v>30</v>
      </c>
      <c r="B25" s="1" t="s">
        <v>10</v>
      </c>
      <c r="C25" s="1">
        <f t="shared" ca="1" si="3"/>
        <v>13</v>
      </c>
      <c r="D25" s="2">
        <f t="shared" si="16"/>
        <v>0.96</v>
      </c>
      <c r="E25" s="2">
        <f t="shared" ref="E25:E34" si="20">1-D25</f>
        <v>4.0000000000000036E-2</v>
      </c>
      <c r="F25" s="2">
        <f t="shared" ref="F25:F34" si="21">1-G25</f>
        <v>0.44999999999999996</v>
      </c>
      <c r="G25" s="2">
        <f t="shared" si="19"/>
        <v>0.55000000000000004</v>
      </c>
      <c r="H25" s="1" t="s">
        <v>11</v>
      </c>
      <c r="I25" s="1">
        <f t="shared" ca="1" si="6"/>
        <v>10</v>
      </c>
      <c r="J25" s="2">
        <f t="shared" ca="1" si="7"/>
        <v>1.3644047078404165E-2</v>
      </c>
      <c r="K25" s="1" t="s">
        <v>11</v>
      </c>
      <c r="L25" s="1">
        <f t="shared" ca="1" si="8"/>
        <v>3</v>
      </c>
      <c r="M25" s="2">
        <f t="shared" ca="1" si="9"/>
        <v>1.9661349623796305</v>
      </c>
      <c r="N25" s="1">
        <v>0</v>
      </c>
      <c r="O25" s="1">
        <v>0</v>
      </c>
    </row>
    <row r="26" spans="1:15" x14ac:dyDescent="0.25">
      <c r="A26" s="1" t="s">
        <v>30</v>
      </c>
      <c r="B26" s="1" t="s">
        <v>10</v>
      </c>
      <c r="C26" s="1">
        <f t="shared" ca="1" si="3"/>
        <v>994</v>
      </c>
      <c r="D26" s="2">
        <f t="shared" si="16"/>
        <v>0.96</v>
      </c>
      <c r="E26" s="2">
        <f t="shared" si="20"/>
        <v>4.0000000000000036E-2</v>
      </c>
      <c r="F26" s="2">
        <f t="shared" si="21"/>
        <v>0.44999999999999996</v>
      </c>
      <c r="G26" s="2">
        <f t="shared" si="19"/>
        <v>0.55000000000000004</v>
      </c>
      <c r="H26" s="1" t="s">
        <v>11</v>
      </c>
      <c r="I26" s="1">
        <f t="shared" ca="1" si="6"/>
        <v>11</v>
      </c>
      <c r="J26" s="2">
        <f t="shared" ca="1" si="7"/>
        <v>0.74545853793798578</v>
      </c>
      <c r="K26" s="1" t="s">
        <v>11</v>
      </c>
      <c r="L26" s="1">
        <f t="shared" ca="1" si="8"/>
        <v>-10</v>
      </c>
      <c r="M26" s="2">
        <f t="shared" ca="1" si="9"/>
        <v>2.691429567130005</v>
      </c>
      <c r="N26" s="1">
        <v>0</v>
      </c>
      <c r="O26" s="1">
        <v>0</v>
      </c>
    </row>
    <row r="27" spans="1:15" x14ac:dyDescent="0.25">
      <c r="A27" s="1" t="s">
        <v>30</v>
      </c>
      <c r="B27" s="1" t="s">
        <v>10</v>
      </c>
      <c r="C27" s="1">
        <f t="shared" ca="1" si="3"/>
        <v>657</v>
      </c>
      <c r="D27" s="2">
        <f t="shared" si="16"/>
        <v>0.96</v>
      </c>
      <c r="E27" s="2">
        <f t="shared" si="20"/>
        <v>4.0000000000000036E-2</v>
      </c>
      <c r="F27" s="2">
        <f t="shared" si="21"/>
        <v>0.44999999999999996</v>
      </c>
      <c r="G27" s="2">
        <f t="shared" si="19"/>
        <v>0.55000000000000004</v>
      </c>
      <c r="H27" s="1" t="s">
        <v>11</v>
      </c>
      <c r="I27" s="1">
        <f t="shared" ca="1" si="6"/>
        <v>4</v>
      </c>
      <c r="J27" s="2">
        <f t="shared" ca="1" si="7"/>
        <v>2.1509346933757776</v>
      </c>
      <c r="K27" s="1" t="s">
        <v>11</v>
      </c>
      <c r="L27" s="1">
        <f t="shared" ca="1" si="8"/>
        <v>4</v>
      </c>
      <c r="M27" s="2">
        <f t="shared" ca="1" si="9"/>
        <v>2.2740067774462602</v>
      </c>
      <c r="N27" s="1">
        <v>0</v>
      </c>
      <c r="O27" s="1">
        <v>0</v>
      </c>
    </row>
    <row r="28" spans="1:15" x14ac:dyDescent="0.25">
      <c r="A28" s="1" t="s">
        <v>30</v>
      </c>
      <c r="B28" s="1" t="s">
        <v>10</v>
      </c>
      <c r="C28" s="1">
        <f t="shared" ca="1" si="3"/>
        <v>596</v>
      </c>
      <c r="D28" s="2">
        <f t="shared" si="16"/>
        <v>0.96</v>
      </c>
      <c r="E28" s="2">
        <f t="shared" si="20"/>
        <v>4.0000000000000036E-2</v>
      </c>
      <c r="F28" s="2">
        <f t="shared" si="21"/>
        <v>0.44999999999999996</v>
      </c>
      <c r="G28" s="2">
        <f t="shared" si="19"/>
        <v>0.55000000000000004</v>
      </c>
      <c r="H28" s="1" t="s">
        <v>11</v>
      </c>
      <c r="I28" s="1">
        <f t="shared" ca="1" si="6"/>
        <v>24</v>
      </c>
      <c r="J28" s="2">
        <f t="shared" ca="1" si="7"/>
        <v>0.60911892453127725</v>
      </c>
      <c r="K28" s="1" t="s">
        <v>11</v>
      </c>
      <c r="L28" s="1">
        <f t="shared" ca="1" si="8"/>
        <v>4</v>
      </c>
      <c r="M28" s="2">
        <f t="shared" ca="1" si="9"/>
        <v>0.80139929790636943</v>
      </c>
      <c r="N28" s="1">
        <v>0</v>
      </c>
      <c r="O28" s="1">
        <v>0</v>
      </c>
    </row>
    <row r="29" spans="1:15" x14ac:dyDescent="0.25">
      <c r="A29" s="1" t="s">
        <v>30</v>
      </c>
      <c r="B29" s="1" t="s">
        <v>10</v>
      </c>
      <c r="C29" s="1">
        <f t="shared" ca="1" si="3"/>
        <v>888</v>
      </c>
      <c r="D29" s="2">
        <f t="shared" si="16"/>
        <v>0.96</v>
      </c>
      <c r="E29" s="2">
        <f t="shared" si="20"/>
        <v>4.0000000000000036E-2</v>
      </c>
      <c r="F29" s="2">
        <f t="shared" si="21"/>
        <v>0.44999999999999996</v>
      </c>
      <c r="G29" s="2">
        <f t="shared" si="19"/>
        <v>0.55000000000000004</v>
      </c>
      <c r="H29" s="1" t="s">
        <v>11</v>
      </c>
      <c r="I29" s="1">
        <f t="shared" ca="1" si="6"/>
        <v>17</v>
      </c>
      <c r="J29" s="2">
        <f t="shared" ca="1" si="7"/>
        <v>0.26757038937198629</v>
      </c>
      <c r="K29" s="1" t="s">
        <v>11</v>
      </c>
      <c r="L29" s="1">
        <f t="shared" ca="1" si="8"/>
        <v>-2</v>
      </c>
      <c r="M29" s="2">
        <f t="shared" ca="1" si="9"/>
        <v>2.4051387622994596</v>
      </c>
      <c r="N29" s="1">
        <v>0</v>
      </c>
      <c r="O29" s="1">
        <v>0</v>
      </c>
    </row>
    <row r="30" spans="1:15" x14ac:dyDescent="0.25">
      <c r="A30" s="1" t="s">
        <v>30</v>
      </c>
      <c r="B30" s="1" t="s">
        <v>10</v>
      </c>
      <c r="C30" s="1">
        <f t="shared" ca="1" si="3"/>
        <v>576</v>
      </c>
      <c r="D30" s="2">
        <f t="shared" si="16"/>
        <v>0.96</v>
      </c>
      <c r="E30" s="2">
        <f t="shared" si="20"/>
        <v>4.0000000000000036E-2</v>
      </c>
      <c r="F30" s="2">
        <f t="shared" si="21"/>
        <v>0.44999999999999996</v>
      </c>
      <c r="G30" s="2">
        <f t="shared" si="19"/>
        <v>0.55000000000000004</v>
      </c>
      <c r="H30" s="1" t="s">
        <v>11</v>
      </c>
      <c r="I30" s="1">
        <f t="shared" ca="1" si="6"/>
        <v>22</v>
      </c>
      <c r="J30" s="2">
        <f t="shared" ca="1" si="7"/>
        <v>1.9912049773993874</v>
      </c>
      <c r="K30" s="1" t="s">
        <v>11</v>
      </c>
      <c r="L30" s="1">
        <f t="shared" ca="1" si="8"/>
        <v>-8</v>
      </c>
      <c r="M30" s="2">
        <f t="shared" ca="1" si="9"/>
        <v>1.0384575718786166</v>
      </c>
      <c r="N30" s="1">
        <v>0</v>
      </c>
      <c r="O30" s="1">
        <v>0</v>
      </c>
    </row>
    <row r="31" spans="1:15" x14ac:dyDescent="0.25">
      <c r="A31" s="1" t="s">
        <v>30</v>
      </c>
      <c r="B31" s="1" t="s">
        <v>10</v>
      </c>
      <c r="C31" s="1">
        <f t="shared" ca="1" si="3"/>
        <v>427</v>
      </c>
      <c r="D31" s="2">
        <f t="shared" si="16"/>
        <v>0.96</v>
      </c>
      <c r="E31" s="2">
        <f t="shared" si="20"/>
        <v>4.0000000000000036E-2</v>
      </c>
      <c r="F31" s="2">
        <f t="shared" si="21"/>
        <v>0.44999999999999996</v>
      </c>
      <c r="G31" s="2">
        <f t="shared" si="19"/>
        <v>0.55000000000000004</v>
      </c>
      <c r="H31" s="1" t="s">
        <v>11</v>
      </c>
      <c r="I31" s="1">
        <f t="shared" ca="1" si="6"/>
        <v>25</v>
      </c>
      <c r="J31" s="2">
        <f t="shared" ca="1" si="7"/>
        <v>2.3585341204886978</v>
      </c>
      <c r="K31" s="1" t="s">
        <v>11</v>
      </c>
      <c r="L31" s="1">
        <f t="shared" ca="1" si="8"/>
        <v>10</v>
      </c>
      <c r="M31" s="2">
        <f t="shared" ca="1" si="9"/>
        <v>1.56258291245263</v>
      </c>
      <c r="N31" s="1">
        <v>0</v>
      </c>
      <c r="O31" s="1">
        <v>0</v>
      </c>
    </row>
    <row r="32" spans="1:15" x14ac:dyDescent="0.25">
      <c r="A32" s="1" t="s">
        <v>30</v>
      </c>
      <c r="B32" s="1" t="s">
        <v>10</v>
      </c>
      <c r="C32" s="1">
        <f t="shared" ca="1" si="3"/>
        <v>537</v>
      </c>
      <c r="D32" s="2">
        <f t="shared" si="16"/>
        <v>0.96</v>
      </c>
      <c r="E32" s="2">
        <f t="shared" si="20"/>
        <v>4.0000000000000036E-2</v>
      </c>
      <c r="F32" s="2">
        <f t="shared" si="21"/>
        <v>0.44999999999999996</v>
      </c>
      <c r="G32" s="2">
        <f t="shared" si="19"/>
        <v>0.55000000000000004</v>
      </c>
      <c r="H32" s="1" t="s">
        <v>11</v>
      </c>
      <c r="I32" s="1">
        <f t="shared" ca="1" si="6"/>
        <v>8</v>
      </c>
      <c r="J32" s="2">
        <f t="shared" ca="1" si="7"/>
        <v>0.73650426917241574</v>
      </c>
      <c r="K32" s="1" t="s">
        <v>11</v>
      </c>
      <c r="L32" s="1">
        <f t="shared" ca="1" si="8"/>
        <v>8</v>
      </c>
      <c r="M32" s="2">
        <f t="shared" ca="1" si="9"/>
        <v>0.57758519692357702</v>
      </c>
      <c r="N32" s="1">
        <v>0</v>
      </c>
      <c r="O32" s="1">
        <v>0</v>
      </c>
    </row>
    <row r="33" spans="1:15" x14ac:dyDescent="0.25">
      <c r="A33" s="1" t="s">
        <v>30</v>
      </c>
      <c r="B33" s="1" t="s">
        <v>10</v>
      </c>
      <c r="C33" s="1">
        <f t="shared" ca="1" si="3"/>
        <v>532</v>
      </c>
      <c r="D33" s="2">
        <f t="shared" si="16"/>
        <v>0.96</v>
      </c>
      <c r="E33" s="2">
        <f t="shared" si="20"/>
        <v>4.0000000000000036E-2</v>
      </c>
      <c r="F33" s="2">
        <f t="shared" si="21"/>
        <v>0.44999999999999996</v>
      </c>
      <c r="G33" s="2">
        <f t="shared" si="19"/>
        <v>0.55000000000000004</v>
      </c>
      <c r="H33" s="1" t="s">
        <v>11</v>
      </c>
      <c r="I33" s="1">
        <f t="shared" ca="1" si="6"/>
        <v>13</v>
      </c>
      <c r="J33" s="2">
        <f t="shared" ca="1" si="7"/>
        <v>1.3491971135252381</v>
      </c>
      <c r="K33" s="1" t="s">
        <v>11</v>
      </c>
      <c r="L33" s="1">
        <f t="shared" ca="1" si="8"/>
        <v>0</v>
      </c>
      <c r="M33" s="2">
        <f t="shared" ca="1" si="9"/>
        <v>1.8755868436065835</v>
      </c>
      <c r="N33" s="1">
        <v>0</v>
      </c>
      <c r="O33" s="1">
        <v>0</v>
      </c>
    </row>
    <row r="34" spans="1:15" x14ac:dyDescent="0.25">
      <c r="A34" s="1" t="s">
        <v>30</v>
      </c>
      <c r="B34" s="1" t="s">
        <v>10</v>
      </c>
      <c r="C34" s="1">
        <f t="shared" ca="1" si="3"/>
        <v>736</v>
      </c>
      <c r="D34" s="2">
        <f t="shared" si="16"/>
        <v>0.96</v>
      </c>
      <c r="E34" s="2">
        <f t="shared" si="20"/>
        <v>4.0000000000000036E-2</v>
      </c>
      <c r="F34" s="2">
        <f t="shared" si="21"/>
        <v>0.44999999999999996</v>
      </c>
      <c r="G34" s="2">
        <f t="shared" si="19"/>
        <v>0.55000000000000004</v>
      </c>
      <c r="H34" s="1" t="s">
        <v>11</v>
      </c>
      <c r="I34" s="1">
        <f t="shared" ca="1" si="6"/>
        <v>19</v>
      </c>
      <c r="J34" s="2">
        <f t="shared" ca="1" si="7"/>
        <v>1.7641349880634973</v>
      </c>
      <c r="K34" s="1" t="s">
        <v>11</v>
      </c>
      <c r="L34" s="1">
        <f t="shared" ca="1" si="8"/>
        <v>-6</v>
      </c>
      <c r="M34" s="2">
        <f t="shared" ca="1" si="9"/>
        <v>1.1874214553773379</v>
      </c>
      <c r="N34" s="1">
        <v>0</v>
      </c>
      <c r="O34" s="1">
        <v>0</v>
      </c>
    </row>
    <row r="35" spans="1:15" x14ac:dyDescent="0.25">
      <c r="A35" s="1" t="s">
        <v>30</v>
      </c>
      <c r="B35" s="1" t="s">
        <v>10</v>
      </c>
      <c r="C35" s="1">
        <f t="shared" ca="1" si="3"/>
        <v>98</v>
      </c>
      <c r="D35" s="2">
        <f t="shared" si="16"/>
        <v>0.96</v>
      </c>
      <c r="E35" s="2">
        <f t="shared" ref="E35:E64" si="22">1-D35</f>
        <v>4.0000000000000036E-2</v>
      </c>
      <c r="F35" s="2">
        <f t="shared" ref="F35:F64" si="23">1-G35</f>
        <v>0.44999999999999996</v>
      </c>
      <c r="G35" s="2">
        <f t="shared" si="19"/>
        <v>0.55000000000000004</v>
      </c>
      <c r="H35" s="1" t="s">
        <v>11</v>
      </c>
      <c r="I35" s="1">
        <f t="shared" ca="1" si="6"/>
        <v>17</v>
      </c>
      <c r="J35" s="2">
        <f t="shared" ca="1" si="7"/>
        <v>0.71259135534700768</v>
      </c>
      <c r="K35" s="1" t="s">
        <v>11</v>
      </c>
      <c r="L35" s="1">
        <f t="shared" ca="1" si="8"/>
        <v>2</v>
      </c>
      <c r="M35" s="2">
        <f t="shared" ca="1" si="9"/>
        <v>2.0504193649784925</v>
      </c>
      <c r="N35" s="1">
        <v>0</v>
      </c>
      <c r="O35" s="1">
        <v>0</v>
      </c>
    </row>
    <row r="36" spans="1:15" x14ac:dyDescent="0.25">
      <c r="A36" s="1" t="s">
        <v>30</v>
      </c>
      <c r="B36" s="1" t="s">
        <v>10</v>
      </c>
      <c r="C36" s="1">
        <f t="shared" ca="1" si="3"/>
        <v>603</v>
      </c>
      <c r="D36" s="2">
        <f t="shared" si="16"/>
        <v>0.96</v>
      </c>
      <c r="E36" s="2">
        <f t="shared" si="22"/>
        <v>4.0000000000000036E-2</v>
      </c>
      <c r="F36" s="2">
        <f t="shared" si="23"/>
        <v>0.44999999999999996</v>
      </c>
      <c r="G36" s="2">
        <f t="shared" si="19"/>
        <v>0.55000000000000004</v>
      </c>
      <c r="H36" s="1" t="s">
        <v>11</v>
      </c>
      <c r="I36" s="1">
        <f t="shared" ca="1" si="6"/>
        <v>18</v>
      </c>
      <c r="J36" s="2">
        <f t="shared" ca="1" si="7"/>
        <v>2.6934879710730431</v>
      </c>
      <c r="K36" s="1" t="s">
        <v>11</v>
      </c>
      <c r="L36" s="1">
        <f t="shared" ca="1" si="8"/>
        <v>6</v>
      </c>
      <c r="M36" s="2">
        <f t="shared" ca="1" si="9"/>
        <v>0.3071759777768861</v>
      </c>
      <c r="N36" s="1">
        <v>0</v>
      </c>
      <c r="O36" s="1">
        <v>0</v>
      </c>
    </row>
    <row r="37" spans="1:15" x14ac:dyDescent="0.25">
      <c r="A37" s="1" t="s">
        <v>30</v>
      </c>
      <c r="B37" s="1" t="s">
        <v>10</v>
      </c>
      <c r="C37" s="1">
        <f t="shared" ca="1" si="3"/>
        <v>37</v>
      </c>
      <c r="D37" s="2">
        <f t="shared" si="16"/>
        <v>0.96</v>
      </c>
      <c r="E37" s="2">
        <f t="shared" si="22"/>
        <v>4.0000000000000036E-2</v>
      </c>
      <c r="F37" s="2">
        <f t="shared" si="23"/>
        <v>0.44999999999999996</v>
      </c>
      <c r="G37" s="2">
        <f t="shared" si="19"/>
        <v>0.55000000000000004</v>
      </c>
      <c r="H37" s="1" t="s">
        <v>11</v>
      </c>
      <c r="I37" s="1">
        <f t="shared" ca="1" si="6"/>
        <v>26</v>
      </c>
      <c r="J37" s="2">
        <f t="shared" ca="1" si="7"/>
        <v>2.8511190449215489</v>
      </c>
      <c r="K37" s="1" t="s">
        <v>11</v>
      </c>
      <c r="L37" s="1">
        <f t="shared" ca="1" si="8"/>
        <v>-6</v>
      </c>
      <c r="M37" s="2">
        <f t="shared" ca="1" si="9"/>
        <v>1.1405802654573789</v>
      </c>
      <c r="N37" s="1">
        <v>0</v>
      </c>
      <c r="O37" s="1">
        <v>0</v>
      </c>
    </row>
    <row r="38" spans="1:15" x14ac:dyDescent="0.25">
      <c r="A38" s="1" t="s">
        <v>30</v>
      </c>
      <c r="B38" s="1" t="s">
        <v>10</v>
      </c>
      <c r="C38" s="1">
        <f t="shared" ca="1" si="3"/>
        <v>103</v>
      </c>
      <c r="D38" s="2">
        <f t="shared" si="16"/>
        <v>0.96</v>
      </c>
      <c r="E38" s="2">
        <f t="shared" si="22"/>
        <v>4.0000000000000036E-2</v>
      </c>
      <c r="F38" s="2">
        <f t="shared" si="23"/>
        <v>0.44999999999999996</v>
      </c>
      <c r="G38" s="2">
        <f t="shared" si="19"/>
        <v>0.55000000000000004</v>
      </c>
      <c r="H38" s="1" t="s">
        <v>11</v>
      </c>
      <c r="I38" s="1">
        <f t="shared" ca="1" si="6"/>
        <v>24</v>
      </c>
      <c r="J38" s="2">
        <f t="shared" ca="1" si="7"/>
        <v>2.7853629952820116</v>
      </c>
      <c r="K38" s="1" t="s">
        <v>11</v>
      </c>
      <c r="L38" s="1">
        <f t="shared" ca="1" si="8"/>
        <v>-5</v>
      </c>
      <c r="M38" s="2">
        <f t="shared" ca="1" si="9"/>
        <v>1.7825909161097493</v>
      </c>
      <c r="N38" s="1">
        <v>0</v>
      </c>
      <c r="O38" s="1">
        <v>0</v>
      </c>
    </row>
    <row r="39" spans="1:15" x14ac:dyDescent="0.25">
      <c r="A39" s="1" t="s">
        <v>30</v>
      </c>
      <c r="B39" s="1" t="s">
        <v>10</v>
      </c>
      <c r="C39" s="1">
        <f t="shared" ca="1" si="3"/>
        <v>395</v>
      </c>
      <c r="D39" s="2">
        <f t="shared" si="16"/>
        <v>0.96</v>
      </c>
      <c r="E39" s="2">
        <f t="shared" si="22"/>
        <v>4.0000000000000036E-2</v>
      </c>
      <c r="F39" s="2">
        <f t="shared" si="23"/>
        <v>0.44999999999999996</v>
      </c>
      <c r="G39" s="2">
        <f t="shared" si="19"/>
        <v>0.55000000000000004</v>
      </c>
      <c r="H39" s="1" t="s">
        <v>11</v>
      </c>
      <c r="I39" s="1">
        <f t="shared" ca="1" si="6"/>
        <v>6</v>
      </c>
      <c r="J39" s="2">
        <f t="shared" ca="1" si="7"/>
        <v>1.7356433664236186</v>
      </c>
      <c r="K39" s="1" t="s">
        <v>11</v>
      </c>
      <c r="L39" s="1">
        <f t="shared" ca="1" si="8"/>
        <v>9</v>
      </c>
      <c r="M39" s="2">
        <f t="shared" ca="1" si="9"/>
        <v>1.864286008827869</v>
      </c>
      <c r="N39" s="1">
        <v>0</v>
      </c>
      <c r="O39" s="1">
        <v>0</v>
      </c>
    </row>
    <row r="40" spans="1:15" x14ac:dyDescent="0.25">
      <c r="A40" s="1" t="s">
        <v>30</v>
      </c>
      <c r="B40" s="1" t="s">
        <v>10</v>
      </c>
      <c r="C40" s="1">
        <f t="shared" ca="1" si="3"/>
        <v>875</v>
      </c>
      <c r="D40" s="2">
        <f t="shared" si="16"/>
        <v>0.96</v>
      </c>
      <c r="E40" s="2">
        <f t="shared" si="22"/>
        <v>4.0000000000000036E-2</v>
      </c>
      <c r="F40" s="2">
        <f t="shared" si="23"/>
        <v>0.44999999999999996</v>
      </c>
      <c r="G40" s="2">
        <f t="shared" si="19"/>
        <v>0.55000000000000004</v>
      </c>
      <c r="H40" s="1" t="s">
        <v>11</v>
      </c>
      <c r="I40" s="1">
        <f t="shared" ca="1" si="6"/>
        <v>7</v>
      </c>
      <c r="J40" s="2">
        <f t="shared" ca="1" si="7"/>
        <v>1.727712131312956</v>
      </c>
      <c r="K40" s="1" t="s">
        <v>11</v>
      </c>
      <c r="L40" s="1">
        <f t="shared" ca="1" si="8"/>
        <v>2</v>
      </c>
      <c r="M40" s="2">
        <f t="shared" ca="1" si="9"/>
        <v>0.88804091356051562</v>
      </c>
      <c r="N40" s="1">
        <v>0</v>
      </c>
      <c r="O40" s="1">
        <v>0</v>
      </c>
    </row>
    <row r="41" spans="1:15" x14ac:dyDescent="0.25">
      <c r="A41" s="1" t="s">
        <v>30</v>
      </c>
      <c r="B41" s="1" t="s">
        <v>10</v>
      </c>
      <c r="C41" s="1">
        <f t="shared" ca="1" si="3"/>
        <v>469</v>
      </c>
      <c r="D41" s="2">
        <f t="shared" si="16"/>
        <v>0.96</v>
      </c>
      <c r="E41" s="2">
        <f t="shared" si="22"/>
        <v>4.0000000000000036E-2</v>
      </c>
      <c r="F41" s="2">
        <f t="shared" si="23"/>
        <v>0.44999999999999996</v>
      </c>
      <c r="G41" s="2">
        <f t="shared" si="19"/>
        <v>0.55000000000000004</v>
      </c>
      <c r="H41" s="1" t="s">
        <v>11</v>
      </c>
      <c r="I41" s="1">
        <f t="shared" ca="1" si="6"/>
        <v>13</v>
      </c>
      <c r="J41" s="2">
        <f t="shared" ca="1" si="7"/>
        <v>2.2254335635169666</v>
      </c>
      <c r="K41" s="1" t="s">
        <v>11</v>
      </c>
      <c r="L41" s="1">
        <f t="shared" ca="1" si="8"/>
        <v>-10</v>
      </c>
      <c r="M41" s="2">
        <f t="shared" ca="1" si="9"/>
        <v>0.80342287563352788</v>
      </c>
      <c r="N41" s="1">
        <v>0</v>
      </c>
      <c r="O41" s="1">
        <v>0</v>
      </c>
    </row>
    <row r="42" spans="1:15" x14ac:dyDescent="0.25">
      <c r="A42" s="1" t="s">
        <v>30</v>
      </c>
      <c r="B42" s="1" t="s">
        <v>10</v>
      </c>
      <c r="C42" s="1">
        <f t="shared" ca="1" si="3"/>
        <v>5</v>
      </c>
      <c r="D42" s="2">
        <f t="shared" si="16"/>
        <v>0.96</v>
      </c>
      <c r="E42" s="2">
        <f t="shared" si="22"/>
        <v>4.0000000000000036E-2</v>
      </c>
      <c r="F42" s="2">
        <f t="shared" si="23"/>
        <v>0.44999999999999996</v>
      </c>
      <c r="G42" s="2">
        <f t="shared" si="19"/>
        <v>0.55000000000000004</v>
      </c>
      <c r="H42" s="1" t="s">
        <v>11</v>
      </c>
      <c r="I42" s="1">
        <f t="shared" ca="1" si="6"/>
        <v>27</v>
      </c>
      <c r="J42" s="2">
        <f t="shared" ca="1" si="7"/>
        <v>2.8286752383422513</v>
      </c>
      <c r="K42" s="1" t="s">
        <v>11</v>
      </c>
      <c r="L42" s="1">
        <f t="shared" ca="1" si="8"/>
        <v>6</v>
      </c>
      <c r="M42" s="2">
        <f t="shared" ca="1" si="9"/>
        <v>1.5662813453618694</v>
      </c>
      <c r="N42" s="1">
        <v>0</v>
      </c>
      <c r="O42" s="1">
        <v>0</v>
      </c>
    </row>
    <row r="43" spans="1:15" x14ac:dyDescent="0.25">
      <c r="A43" s="1" t="s">
        <v>30</v>
      </c>
      <c r="B43" s="1" t="s">
        <v>10</v>
      </c>
      <c r="C43" s="1">
        <f t="shared" ca="1" si="3"/>
        <v>319</v>
      </c>
      <c r="D43" s="2">
        <f t="shared" si="16"/>
        <v>0.96</v>
      </c>
      <c r="E43" s="2">
        <f t="shared" si="22"/>
        <v>4.0000000000000036E-2</v>
      </c>
      <c r="F43" s="2">
        <f t="shared" si="23"/>
        <v>0.44999999999999996</v>
      </c>
      <c r="G43" s="2">
        <f t="shared" si="19"/>
        <v>0.55000000000000004</v>
      </c>
      <c r="H43" s="1" t="s">
        <v>11</v>
      </c>
      <c r="I43" s="1">
        <f t="shared" ca="1" si="6"/>
        <v>13</v>
      </c>
      <c r="J43" s="2">
        <f t="shared" ca="1" si="7"/>
        <v>1.5527524196110769</v>
      </c>
      <c r="K43" s="1" t="s">
        <v>11</v>
      </c>
      <c r="L43" s="1">
        <f t="shared" ca="1" si="8"/>
        <v>-5</v>
      </c>
      <c r="M43" s="2">
        <f t="shared" ca="1" si="9"/>
        <v>0.89128568344046522</v>
      </c>
      <c r="N43" s="1">
        <v>0</v>
      </c>
      <c r="O43" s="1">
        <v>0</v>
      </c>
    </row>
    <row r="44" spans="1:15" x14ac:dyDescent="0.25">
      <c r="A44" s="1" t="s">
        <v>30</v>
      </c>
      <c r="B44" s="1" t="s">
        <v>10</v>
      </c>
      <c r="C44" s="1">
        <f t="shared" ca="1" si="3"/>
        <v>84</v>
      </c>
      <c r="D44" s="2">
        <f t="shared" si="16"/>
        <v>0.96</v>
      </c>
      <c r="E44" s="2">
        <f t="shared" si="22"/>
        <v>4.0000000000000036E-2</v>
      </c>
      <c r="F44" s="2">
        <f t="shared" si="23"/>
        <v>0.44999999999999996</v>
      </c>
      <c r="G44" s="2">
        <f t="shared" si="19"/>
        <v>0.55000000000000004</v>
      </c>
      <c r="H44" s="1" t="s">
        <v>11</v>
      </c>
      <c r="I44" s="1">
        <f t="shared" ca="1" si="6"/>
        <v>15</v>
      </c>
      <c r="J44" s="2">
        <f t="shared" ca="1" si="7"/>
        <v>0.12973003059046073</v>
      </c>
      <c r="K44" s="1" t="s">
        <v>11</v>
      </c>
      <c r="L44" s="1">
        <f t="shared" ca="1" si="8"/>
        <v>4</v>
      </c>
      <c r="M44" s="2">
        <f t="shared" ca="1" si="9"/>
        <v>2.6526067992556954</v>
      </c>
      <c r="N44" s="1">
        <v>0</v>
      </c>
      <c r="O44" s="1">
        <v>0</v>
      </c>
    </row>
    <row r="45" spans="1:15" x14ac:dyDescent="0.25">
      <c r="A45" s="1" t="s">
        <v>30</v>
      </c>
      <c r="B45" s="1" t="s">
        <v>10</v>
      </c>
      <c r="C45" s="1">
        <f t="shared" ca="1" si="3"/>
        <v>58</v>
      </c>
      <c r="D45" s="2">
        <f t="shared" si="16"/>
        <v>0.96</v>
      </c>
      <c r="E45" s="2">
        <f t="shared" si="22"/>
        <v>4.0000000000000036E-2</v>
      </c>
      <c r="F45" s="2">
        <f t="shared" si="23"/>
        <v>0.44999999999999996</v>
      </c>
      <c r="G45" s="2">
        <f t="shared" si="19"/>
        <v>0.55000000000000004</v>
      </c>
      <c r="H45" s="1" t="s">
        <v>11</v>
      </c>
      <c r="I45" s="1">
        <f t="shared" ca="1" si="6"/>
        <v>28</v>
      </c>
      <c r="J45" s="2">
        <f t="shared" ca="1" si="7"/>
        <v>1.1325890779221006</v>
      </c>
      <c r="K45" s="1" t="s">
        <v>11</v>
      </c>
      <c r="L45" s="1">
        <f t="shared" ca="1" si="8"/>
        <v>6</v>
      </c>
      <c r="M45" s="2">
        <f t="shared" ca="1" si="9"/>
        <v>0.76756006453234893</v>
      </c>
      <c r="N45" s="1">
        <v>0</v>
      </c>
      <c r="O45" s="1">
        <v>0</v>
      </c>
    </row>
    <row r="46" spans="1:15" x14ac:dyDescent="0.25">
      <c r="A46" s="1" t="s">
        <v>30</v>
      </c>
      <c r="B46" s="1" t="s">
        <v>10</v>
      </c>
      <c r="C46" s="1">
        <f t="shared" ca="1" si="3"/>
        <v>246</v>
      </c>
      <c r="D46" s="2">
        <f t="shared" si="16"/>
        <v>0.96</v>
      </c>
      <c r="E46" s="2">
        <f t="shared" si="22"/>
        <v>4.0000000000000036E-2</v>
      </c>
      <c r="F46" s="2">
        <f t="shared" si="23"/>
        <v>0.44999999999999996</v>
      </c>
      <c r="G46" s="2">
        <f t="shared" si="19"/>
        <v>0.55000000000000004</v>
      </c>
      <c r="H46" s="1" t="s">
        <v>11</v>
      </c>
      <c r="I46" s="1">
        <f t="shared" ca="1" si="6"/>
        <v>8</v>
      </c>
      <c r="J46" s="2">
        <f t="shared" ca="1" si="7"/>
        <v>0.92044421330520387</v>
      </c>
      <c r="K46" s="1" t="s">
        <v>11</v>
      </c>
      <c r="L46" s="1">
        <f t="shared" ca="1" si="8"/>
        <v>0</v>
      </c>
      <c r="M46" s="2">
        <f t="shared" ca="1" si="9"/>
        <v>1.8914028970218157</v>
      </c>
      <c r="N46" s="1">
        <v>0</v>
      </c>
      <c r="O46" s="1">
        <v>0</v>
      </c>
    </row>
    <row r="47" spans="1:15" x14ac:dyDescent="0.25">
      <c r="A47" s="1" t="s">
        <v>30</v>
      </c>
      <c r="B47" s="1" t="s">
        <v>10</v>
      </c>
      <c r="C47" s="1">
        <f t="shared" ca="1" si="3"/>
        <v>729</v>
      </c>
      <c r="D47" s="2">
        <f t="shared" si="16"/>
        <v>0.96</v>
      </c>
      <c r="E47" s="2">
        <f t="shared" si="22"/>
        <v>4.0000000000000036E-2</v>
      </c>
      <c r="F47" s="2">
        <f t="shared" si="23"/>
        <v>0.44999999999999996</v>
      </c>
      <c r="G47" s="2">
        <f t="shared" si="19"/>
        <v>0.55000000000000004</v>
      </c>
      <c r="H47" s="1" t="s">
        <v>11</v>
      </c>
      <c r="I47" s="1">
        <f t="shared" ca="1" si="6"/>
        <v>13</v>
      </c>
      <c r="J47" s="2">
        <f t="shared" ca="1" si="7"/>
        <v>1.7049261619012936</v>
      </c>
      <c r="K47" s="1" t="s">
        <v>11</v>
      </c>
      <c r="L47" s="1">
        <f t="shared" ca="1" si="8"/>
        <v>7</v>
      </c>
      <c r="M47" s="2">
        <f t="shared" ca="1" si="9"/>
        <v>2.8124724034268325</v>
      </c>
      <c r="N47" s="1">
        <v>0</v>
      </c>
      <c r="O47" s="1">
        <v>0</v>
      </c>
    </row>
    <row r="48" spans="1:15" x14ac:dyDescent="0.25">
      <c r="A48" s="1" t="s">
        <v>30</v>
      </c>
      <c r="B48" s="1" t="s">
        <v>10</v>
      </c>
      <c r="C48" s="1">
        <f t="shared" ca="1" si="3"/>
        <v>320</v>
      </c>
      <c r="D48" s="2">
        <f t="shared" si="16"/>
        <v>0.96</v>
      </c>
      <c r="E48" s="2">
        <f t="shared" si="22"/>
        <v>4.0000000000000036E-2</v>
      </c>
      <c r="F48" s="2">
        <f t="shared" si="23"/>
        <v>0.44999999999999996</v>
      </c>
      <c r="G48" s="2">
        <f t="shared" si="19"/>
        <v>0.55000000000000004</v>
      </c>
      <c r="H48" s="1" t="s">
        <v>11</v>
      </c>
      <c r="I48" s="1">
        <f t="shared" ca="1" si="6"/>
        <v>3</v>
      </c>
      <c r="J48" s="2">
        <f t="shared" ca="1" si="7"/>
        <v>2.2156413218087065</v>
      </c>
      <c r="K48" s="1" t="s">
        <v>11</v>
      </c>
      <c r="L48" s="1">
        <f t="shared" ca="1" si="8"/>
        <v>-6</v>
      </c>
      <c r="M48" s="2">
        <f t="shared" ca="1" si="9"/>
        <v>2.4740291865515465</v>
      </c>
      <c r="N48" s="1">
        <v>0</v>
      </c>
      <c r="O48" s="1">
        <v>0</v>
      </c>
    </row>
    <row r="49" spans="1:15" x14ac:dyDescent="0.25">
      <c r="A49" s="1" t="s">
        <v>30</v>
      </c>
      <c r="B49" s="1" t="s">
        <v>10</v>
      </c>
      <c r="C49" s="1">
        <f t="shared" ca="1" si="3"/>
        <v>357</v>
      </c>
      <c r="D49" s="2">
        <f t="shared" si="16"/>
        <v>0.96</v>
      </c>
      <c r="E49" s="2">
        <f t="shared" si="22"/>
        <v>4.0000000000000036E-2</v>
      </c>
      <c r="F49" s="2">
        <f t="shared" si="23"/>
        <v>0.44999999999999996</v>
      </c>
      <c r="G49" s="2">
        <f t="shared" si="19"/>
        <v>0.55000000000000004</v>
      </c>
      <c r="H49" s="1" t="s">
        <v>11</v>
      </c>
      <c r="I49" s="1">
        <f t="shared" ca="1" si="6"/>
        <v>16</v>
      </c>
      <c r="J49" s="2">
        <f t="shared" ca="1" si="7"/>
        <v>0.79514460465454462</v>
      </c>
      <c r="K49" s="1" t="s">
        <v>11</v>
      </c>
      <c r="L49" s="1">
        <f t="shared" ca="1" si="8"/>
        <v>-4</v>
      </c>
      <c r="M49" s="2">
        <f t="shared" ca="1" si="9"/>
        <v>1.2805083053944339</v>
      </c>
      <c r="N49" s="1">
        <v>0</v>
      </c>
      <c r="O49" s="1">
        <v>0</v>
      </c>
    </row>
    <row r="50" spans="1:15" x14ac:dyDescent="0.25">
      <c r="A50" s="1" t="s">
        <v>30</v>
      </c>
      <c r="B50" s="1" t="s">
        <v>10</v>
      </c>
      <c r="C50" s="1">
        <f t="shared" ca="1" si="3"/>
        <v>587</v>
      </c>
      <c r="D50" s="2">
        <f t="shared" si="16"/>
        <v>0.96</v>
      </c>
      <c r="E50" s="2">
        <f t="shared" si="22"/>
        <v>4.0000000000000036E-2</v>
      </c>
      <c r="F50" s="2">
        <f t="shared" si="23"/>
        <v>0.44999999999999996</v>
      </c>
      <c r="G50" s="2">
        <f t="shared" si="19"/>
        <v>0.55000000000000004</v>
      </c>
      <c r="H50" s="1" t="s">
        <v>11</v>
      </c>
      <c r="I50" s="1">
        <f t="shared" ca="1" si="6"/>
        <v>20</v>
      </c>
      <c r="J50" s="2">
        <f t="shared" ca="1" si="7"/>
        <v>2.791508698373002</v>
      </c>
      <c r="K50" s="1" t="s">
        <v>11</v>
      </c>
      <c r="L50" s="1">
        <f t="shared" ca="1" si="8"/>
        <v>7</v>
      </c>
      <c r="M50" s="2">
        <f t="shared" ca="1" si="9"/>
        <v>0.18075475403121777</v>
      </c>
      <c r="N50" s="1">
        <v>0</v>
      </c>
      <c r="O50" s="1">
        <v>0</v>
      </c>
    </row>
    <row r="51" spans="1:15" x14ac:dyDescent="0.25">
      <c r="A51" s="1" t="s">
        <v>30</v>
      </c>
      <c r="B51" s="1" t="s">
        <v>10</v>
      </c>
      <c r="C51" s="1">
        <f t="shared" ca="1" si="3"/>
        <v>93</v>
      </c>
      <c r="D51" s="2">
        <f t="shared" si="16"/>
        <v>0.96</v>
      </c>
      <c r="E51" s="2">
        <f t="shared" si="22"/>
        <v>4.0000000000000036E-2</v>
      </c>
      <c r="F51" s="2">
        <f t="shared" si="23"/>
        <v>0.44999999999999996</v>
      </c>
      <c r="G51" s="2">
        <f t="shared" si="19"/>
        <v>0.55000000000000004</v>
      </c>
      <c r="H51" s="1" t="s">
        <v>11</v>
      </c>
      <c r="I51" s="1">
        <f t="shared" ca="1" si="6"/>
        <v>9</v>
      </c>
      <c r="J51" s="2">
        <f t="shared" ca="1" si="7"/>
        <v>2.0388913393312507</v>
      </c>
      <c r="K51" s="1" t="s">
        <v>11</v>
      </c>
      <c r="L51" s="1">
        <f t="shared" ca="1" si="8"/>
        <v>-6</v>
      </c>
      <c r="M51" s="2">
        <f t="shared" ca="1" si="9"/>
        <v>2.4642748606434162</v>
      </c>
      <c r="N51" s="1">
        <v>0</v>
      </c>
      <c r="O51" s="1">
        <v>0</v>
      </c>
    </row>
    <row r="52" spans="1:15" x14ac:dyDescent="0.25">
      <c r="A52" s="1" t="s">
        <v>30</v>
      </c>
      <c r="B52" s="1" t="s">
        <v>10</v>
      </c>
      <c r="C52" s="1">
        <f t="shared" ca="1" si="3"/>
        <v>626</v>
      </c>
      <c r="D52" s="2">
        <f t="shared" si="16"/>
        <v>0.96</v>
      </c>
      <c r="E52" s="2">
        <f t="shared" si="22"/>
        <v>4.0000000000000036E-2</v>
      </c>
      <c r="F52" s="2">
        <f t="shared" si="23"/>
        <v>0.44999999999999996</v>
      </c>
      <c r="G52" s="2">
        <f t="shared" si="19"/>
        <v>0.55000000000000004</v>
      </c>
      <c r="H52" s="1" t="s">
        <v>11</v>
      </c>
      <c r="I52" s="1">
        <f t="shared" ca="1" si="6"/>
        <v>4</v>
      </c>
      <c r="J52" s="2">
        <f t="shared" ca="1" si="7"/>
        <v>0.15282425932831267</v>
      </c>
      <c r="K52" s="1" t="s">
        <v>11</v>
      </c>
      <c r="L52" s="1">
        <f t="shared" ca="1" si="8"/>
        <v>7</v>
      </c>
      <c r="M52" s="2">
        <f t="shared" ca="1" si="9"/>
        <v>1.0412013994374174</v>
      </c>
      <c r="N52" s="1">
        <v>0</v>
      </c>
      <c r="O52" s="1">
        <v>0</v>
      </c>
    </row>
    <row r="53" spans="1:15" x14ac:dyDescent="0.25">
      <c r="A53" s="1" t="s">
        <v>30</v>
      </c>
      <c r="B53" s="1" t="s">
        <v>10</v>
      </c>
      <c r="C53" s="1">
        <f t="shared" ca="1" si="3"/>
        <v>163</v>
      </c>
      <c r="D53" s="2">
        <f t="shared" si="16"/>
        <v>0.96</v>
      </c>
      <c r="E53" s="2">
        <f t="shared" si="22"/>
        <v>4.0000000000000036E-2</v>
      </c>
      <c r="F53" s="2">
        <f t="shared" si="23"/>
        <v>0.44999999999999996</v>
      </c>
      <c r="G53" s="2">
        <f t="shared" si="19"/>
        <v>0.55000000000000004</v>
      </c>
      <c r="H53" s="1" t="s">
        <v>11</v>
      </c>
      <c r="I53" s="1">
        <f t="shared" ca="1" si="6"/>
        <v>23</v>
      </c>
      <c r="J53" s="2">
        <f t="shared" ca="1" si="7"/>
        <v>0.26765311687583893</v>
      </c>
      <c r="K53" s="1" t="s">
        <v>11</v>
      </c>
      <c r="L53" s="1">
        <f t="shared" ca="1" si="8"/>
        <v>-10</v>
      </c>
      <c r="M53" s="2">
        <f t="shared" ca="1" si="9"/>
        <v>0.17626788864966314</v>
      </c>
      <c r="N53" s="1">
        <v>0</v>
      </c>
      <c r="O53" s="1">
        <v>0</v>
      </c>
    </row>
    <row r="54" spans="1:15" x14ac:dyDescent="0.25">
      <c r="A54" s="1" t="s">
        <v>30</v>
      </c>
      <c r="B54" s="1" t="s">
        <v>10</v>
      </c>
      <c r="C54" s="1">
        <f t="shared" ca="1" si="3"/>
        <v>309</v>
      </c>
      <c r="D54" s="2">
        <f t="shared" si="16"/>
        <v>0.96</v>
      </c>
      <c r="E54" s="2">
        <f t="shared" si="22"/>
        <v>4.0000000000000036E-2</v>
      </c>
      <c r="F54" s="2">
        <f t="shared" si="23"/>
        <v>0.44999999999999996</v>
      </c>
      <c r="G54" s="2">
        <f t="shared" si="19"/>
        <v>0.55000000000000004</v>
      </c>
      <c r="H54" s="1" t="s">
        <v>11</v>
      </c>
      <c r="I54" s="1">
        <f t="shared" ca="1" si="6"/>
        <v>17</v>
      </c>
      <c r="J54" s="2">
        <f t="shared" ca="1" si="7"/>
        <v>2.1205888172649909</v>
      </c>
      <c r="K54" s="1" t="s">
        <v>11</v>
      </c>
      <c r="L54" s="1">
        <f t="shared" ca="1" si="8"/>
        <v>2</v>
      </c>
      <c r="M54" s="2">
        <f t="shared" ca="1" si="9"/>
        <v>2.5240428379955135</v>
      </c>
      <c r="N54" s="1">
        <v>0</v>
      </c>
      <c r="O54" s="1">
        <v>0</v>
      </c>
    </row>
    <row r="55" spans="1:15" x14ac:dyDescent="0.25">
      <c r="A55" s="1" t="s">
        <v>30</v>
      </c>
      <c r="B55" s="1" t="s">
        <v>10</v>
      </c>
      <c r="C55" s="1">
        <f t="shared" ca="1" si="3"/>
        <v>704</v>
      </c>
      <c r="D55" s="2">
        <f t="shared" si="16"/>
        <v>0.96</v>
      </c>
      <c r="E55" s="2">
        <f t="shared" si="22"/>
        <v>4.0000000000000036E-2</v>
      </c>
      <c r="F55" s="2">
        <f t="shared" si="23"/>
        <v>0.44999999999999996</v>
      </c>
      <c r="G55" s="2">
        <f t="shared" si="19"/>
        <v>0.55000000000000004</v>
      </c>
      <c r="H55" s="1" t="s">
        <v>11</v>
      </c>
      <c r="I55" s="1">
        <f t="shared" ca="1" si="6"/>
        <v>8</v>
      </c>
      <c r="J55" s="2">
        <f t="shared" ca="1" si="7"/>
        <v>0.21078235601334738</v>
      </c>
      <c r="K55" s="1" t="s">
        <v>11</v>
      </c>
      <c r="L55" s="1">
        <f t="shared" ca="1" si="8"/>
        <v>-5</v>
      </c>
      <c r="M55" s="2">
        <f t="shared" ca="1" si="9"/>
        <v>2.3988303468548606</v>
      </c>
      <c r="N55" s="1">
        <v>0</v>
      </c>
      <c r="O55" s="1">
        <v>0</v>
      </c>
    </row>
    <row r="56" spans="1:15" x14ac:dyDescent="0.25">
      <c r="A56" s="1" t="s">
        <v>30</v>
      </c>
      <c r="B56" s="1" t="s">
        <v>10</v>
      </c>
      <c r="C56" s="1">
        <f t="shared" ca="1" si="3"/>
        <v>447</v>
      </c>
      <c r="D56" s="2">
        <f t="shared" si="16"/>
        <v>0.96</v>
      </c>
      <c r="E56" s="2">
        <f t="shared" si="22"/>
        <v>4.0000000000000036E-2</v>
      </c>
      <c r="F56" s="2">
        <f t="shared" si="23"/>
        <v>0.44999999999999996</v>
      </c>
      <c r="G56" s="2">
        <f t="shared" si="19"/>
        <v>0.55000000000000004</v>
      </c>
      <c r="H56" s="1" t="s">
        <v>11</v>
      </c>
      <c r="I56" s="1">
        <f t="shared" ca="1" si="6"/>
        <v>25</v>
      </c>
      <c r="J56" s="2">
        <f t="shared" ca="1" si="7"/>
        <v>0.94898167957104052</v>
      </c>
      <c r="K56" s="1" t="s">
        <v>11</v>
      </c>
      <c r="L56" s="1">
        <f t="shared" ca="1" si="8"/>
        <v>0</v>
      </c>
      <c r="M56" s="2">
        <f t="shared" ca="1" si="9"/>
        <v>1.1096151311942357</v>
      </c>
      <c r="N56" s="1">
        <v>0</v>
      </c>
      <c r="O56" s="1">
        <v>0</v>
      </c>
    </row>
    <row r="57" spans="1:15" x14ac:dyDescent="0.25">
      <c r="A57" s="1" t="s">
        <v>30</v>
      </c>
      <c r="B57" s="1" t="s">
        <v>10</v>
      </c>
      <c r="C57" s="1">
        <f t="shared" ca="1" si="3"/>
        <v>313</v>
      </c>
      <c r="D57" s="2">
        <f t="shared" si="16"/>
        <v>0.96</v>
      </c>
      <c r="E57" s="2">
        <f t="shared" si="22"/>
        <v>4.0000000000000036E-2</v>
      </c>
      <c r="F57" s="2">
        <f t="shared" si="23"/>
        <v>0.44999999999999996</v>
      </c>
      <c r="G57" s="2">
        <f t="shared" si="19"/>
        <v>0.55000000000000004</v>
      </c>
      <c r="H57" s="1" t="s">
        <v>11</v>
      </c>
      <c r="I57" s="1">
        <f t="shared" ca="1" si="6"/>
        <v>23</v>
      </c>
      <c r="J57" s="2">
        <f t="shared" ca="1" si="7"/>
        <v>2.8679960034983747</v>
      </c>
      <c r="K57" s="1" t="s">
        <v>11</v>
      </c>
      <c r="L57" s="1">
        <f t="shared" ca="1" si="8"/>
        <v>-2</v>
      </c>
      <c r="M57" s="2">
        <f t="shared" ca="1" si="9"/>
        <v>2.1024037004630376</v>
      </c>
      <c r="N57" s="1">
        <v>0</v>
      </c>
      <c r="O57" s="1">
        <v>0</v>
      </c>
    </row>
    <row r="58" spans="1:15" x14ac:dyDescent="0.25">
      <c r="A58" s="1" t="s">
        <v>30</v>
      </c>
      <c r="B58" s="1" t="s">
        <v>10</v>
      </c>
      <c r="C58" s="1">
        <f t="shared" ca="1" si="3"/>
        <v>370</v>
      </c>
      <c r="D58" s="2">
        <f t="shared" si="16"/>
        <v>0.96</v>
      </c>
      <c r="E58" s="2">
        <f t="shared" si="22"/>
        <v>4.0000000000000036E-2</v>
      </c>
      <c r="F58" s="2">
        <f t="shared" si="23"/>
        <v>0.44999999999999996</v>
      </c>
      <c r="G58" s="2">
        <f t="shared" si="19"/>
        <v>0.55000000000000004</v>
      </c>
      <c r="H58" s="1" t="s">
        <v>11</v>
      </c>
      <c r="I58" s="1">
        <f t="shared" ca="1" si="6"/>
        <v>10</v>
      </c>
      <c r="J58" s="2">
        <f t="shared" ca="1" si="7"/>
        <v>0.3085243745960865</v>
      </c>
      <c r="K58" s="1" t="s">
        <v>11</v>
      </c>
      <c r="L58" s="1">
        <f t="shared" ca="1" si="8"/>
        <v>10</v>
      </c>
      <c r="M58" s="2">
        <f t="shared" ca="1" si="9"/>
        <v>0.78232355950942511</v>
      </c>
      <c r="N58" s="1">
        <v>0</v>
      </c>
      <c r="O58" s="1">
        <v>0</v>
      </c>
    </row>
    <row r="59" spans="1:15" x14ac:dyDescent="0.25">
      <c r="A59" s="1" t="s">
        <v>30</v>
      </c>
      <c r="B59" s="1" t="s">
        <v>10</v>
      </c>
      <c r="C59" s="1">
        <f t="shared" ca="1" si="3"/>
        <v>765</v>
      </c>
      <c r="D59" s="2">
        <f t="shared" si="16"/>
        <v>0.96</v>
      </c>
      <c r="E59" s="2">
        <f t="shared" si="22"/>
        <v>4.0000000000000036E-2</v>
      </c>
      <c r="F59" s="2">
        <f t="shared" si="23"/>
        <v>0.44999999999999996</v>
      </c>
      <c r="G59" s="2">
        <f t="shared" si="19"/>
        <v>0.55000000000000004</v>
      </c>
      <c r="H59" s="1" t="s">
        <v>11</v>
      </c>
      <c r="I59" s="1">
        <f t="shared" ca="1" si="6"/>
        <v>5</v>
      </c>
      <c r="J59" s="2">
        <f t="shared" ca="1" si="7"/>
        <v>0.98018760048131248</v>
      </c>
      <c r="K59" s="1" t="s">
        <v>11</v>
      </c>
      <c r="L59" s="1">
        <f t="shared" ca="1" si="8"/>
        <v>-8</v>
      </c>
      <c r="M59" s="2">
        <f t="shared" ca="1" si="9"/>
        <v>0.66647215347120869</v>
      </c>
      <c r="N59" s="1">
        <v>0</v>
      </c>
      <c r="O59" s="1">
        <v>0</v>
      </c>
    </row>
    <row r="60" spans="1:15" x14ac:dyDescent="0.25">
      <c r="A60" s="1" t="s">
        <v>30</v>
      </c>
      <c r="B60" s="1" t="s">
        <v>10</v>
      </c>
      <c r="C60" s="1">
        <f t="shared" ca="1" si="3"/>
        <v>571</v>
      </c>
      <c r="D60" s="2">
        <f t="shared" si="16"/>
        <v>0.96</v>
      </c>
      <c r="E60" s="2">
        <f t="shared" si="22"/>
        <v>4.0000000000000036E-2</v>
      </c>
      <c r="F60" s="2">
        <f t="shared" si="23"/>
        <v>0.44999999999999996</v>
      </c>
      <c r="G60" s="2">
        <f t="shared" si="19"/>
        <v>0.55000000000000004</v>
      </c>
      <c r="H60" s="1" t="s">
        <v>11</v>
      </c>
      <c r="I60" s="1">
        <f t="shared" ca="1" si="6"/>
        <v>10</v>
      </c>
      <c r="J60" s="2">
        <f t="shared" ca="1" si="7"/>
        <v>0.68265545316536635</v>
      </c>
      <c r="K60" s="1" t="s">
        <v>11</v>
      </c>
      <c r="L60" s="1">
        <f t="shared" ca="1" si="8"/>
        <v>8</v>
      </c>
      <c r="M60" s="2">
        <f t="shared" ca="1" si="9"/>
        <v>2.5075012580522409</v>
      </c>
      <c r="N60" s="1">
        <v>0</v>
      </c>
      <c r="O60" s="1">
        <v>0</v>
      </c>
    </row>
    <row r="61" spans="1:15" x14ac:dyDescent="0.25">
      <c r="A61" s="1" t="s">
        <v>30</v>
      </c>
      <c r="B61" s="1" t="s">
        <v>10</v>
      </c>
      <c r="C61" s="1">
        <f t="shared" ca="1" si="3"/>
        <v>396</v>
      </c>
      <c r="D61" s="2">
        <f t="shared" si="16"/>
        <v>0.96</v>
      </c>
      <c r="E61" s="2">
        <f t="shared" si="22"/>
        <v>4.0000000000000036E-2</v>
      </c>
      <c r="F61" s="2">
        <f t="shared" si="23"/>
        <v>0.44999999999999996</v>
      </c>
      <c r="G61" s="2">
        <f t="shared" si="19"/>
        <v>0.55000000000000004</v>
      </c>
      <c r="H61" s="1" t="s">
        <v>11</v>
      </c>
      <c r="I61" s="1">
        <f t="shared" ca="1" si="6"/>
        <v>11</v>
      </c>
      <c r="J61" s="2">
        <f t="shared" ca="1" si="7"/>
        <v>2.591361664727712</v>
      </c>
      <c r="K61" s="1" t="s">
        <v>11</v>
      </c>
      <c r="L61" s="1">
        <f t="shared" ca="1" si="8"/>
        <v>-7</v>
      </c>
      <c r="M61" s="2">
        <f t="shared" ca="1" si="9"/>
        <v>0.67123628061175822</v>
      </c>
      <c r="N61" s="1">
        <v>0</v>
      </c>
      <c r="O61" s="1">
        <v>0</v>
      </c>
    </row>
    <row r="62" spans="1:15" x14ac:dyDescent="0.25">
      <c r="A62" s="1" t="s">
        <v>30</v>
      </c>
      <c r="B62" s="1" t="s">
        <v>10</v>
      </c>
      <c r="C62" s="1">
        <f t="shared" ca="1" si="3"/>
        <v>861</v>
      </c>
      <c r="D62" s="2">
        <f t="shared" si="16"/>
        <v>0.96</v>
      </c>
      <c r="E62" s="2">
        <f t="shared" si="22"/>
        <v>4.0000000000000036E-2</v>
      </c>
      <c r="F62" s="2">
        <f t="shared" si="23"/>
        <v>0.44999999999999996</v>
      </c>
      <c r="G62" s="2">
        <f t="shared" si="19"/>
        <v>0.55000000000000004</v>
      </c>
      <c r="H62" s="1" t="s">
        <v>11</v>
      </c>
      <c r="I62" s="1">
        <f t="shared" ca="1" si="6"/>
        <v>13</v>
      </c>
      <c r="J62" s="2">
        <f t="shared" ca="1" si="7"/>
        <v>2.5444407651238055</v>
      </c>
      <c r="K62" s="1" t="s">
        <v>11</v>
      </c>
      <c r="L62" s="1">
        <f t="shared" ca="1" si="8"/>
        <v>2</v>
      </c>
      <c r="M62" s="2">
        <f t="shared" ca="1" si="9"/>
        <v>1.4500989916328262</v>
      </c>
      <c r="N62" s="1">
        <v>0</v>
      </c>
      <c r="O62" s="1">
        <v>0</v>
      </c>
    </row>
    <row r="63" spans="1:15" x14ac:dyDescent="0.25">
      <c r="A63" s="1" t="s">
        <v>30</v>
      </c>
      <c r="B63" s="1" t="s">
        <v>10</v>
      </c>
      <c r="C63" s="1">
        <f t="shared" ca="1" si="3"/>
        <v>479</v>
      </c>
      <c r="D63" s="2">
        <f t="shared" si="16"/>
        <v>0.96</v>
      </c>
      <c r="E63" s="2">
        <f t="shared" si="22"/>
        <v>4.0000000000000036E-2</v>
      </c>
      <c r="F63" s="2">
        <f t="shared" si="23"/>
        <v>0.44999999999999996</v>
      </c>
      <c r="G63" s="2">
        <f t="shared" si="19"/>
        <v>0.55000000000000004</v>
      </c>
      <c r="H63" s="1" t="s">
        <v>11</v>
      </c>
      <c r="I63" s="1">
        <f t="shared" ca="1" si="6"/>
        <v>24</v>
      </c>
      <c r="J63" s="2">
        <f t="shared" ca="1" si="7"/>
        <v>1.6014319576246439</v>
      </c>
      <c r="K63" s="1" t="s">
        <v>11</v>
      </c>
      <c r="L63" s="1">
        <f t="shared" ca="1" si="8"/>
        <v>6</v>
      </c>
      <c r="M63" s="2">
        <f t="shared" ca="1" si="9"/>
        <v>0.48355225241577526</v>
      </c>
      <c r="N63" s="1">
        <v>0</v>
      </c>
      <c r="O63" s="1">
        <v>0</v>
      </c>
    </row>
    <row r="64" spans="1:15" x14ac:dyDescent="0.25">
      <c r="A64" s="1" t="s">
        <v>30</v>
      </c>
      <c r="B64" s="1" t="s">
        <v>10</v>
      </c>
      <c r="C64" s="1">
        <f t="shared" ca="1" si="3"/>
        <v>698</v>
      </c>
      <c r="D64" s="2">
        <f t="shared" si="16"/>
        <v>0.96</v>
      </c>
      <c r="E64" s="2">
        <f t="shared" si="22"/>
        <v>4.0000000000000036E-2</v>
      </c>
      <c r="F64" s="2">
        <f t="shared" si="23"/>
        <v>0.44999999999999996</v>
      </c>
      <c r="G64" s="2">
        <f t="shared" si="19"/>
        <v>0.55000000000000004</v>
      </c>
      <c r="H64" s="1" t="s">
        <v>11</v>
      </c>
      <c r="I64" s="1">
        <f t="shared" ca="1" si="6"/>
        <v>23</v>
      </c>
      <c r="J64" s="2">
        <f t="shared" ca="1" si="7"/>
        <v>1.9605262861780997</v>
      </c>
      <c r="K64" s="1" t="s">
        <v>11</v>
      </c>
      <c r="L64" s="1">
        <f t="shared" ca="1" si="8"/>
        <v>-4</v>
      </c>
      <c r="M64" s="2">
        <f t="shared" ca="1" si="9"/>
        <v>1.3714537827539441</v>
      </c>
      <c r="N64" s="1">
        <v>0</v>
      </c>
      <c r="O64" s="1">
        <v>0</v>
      </c>
    </row>
    <row r="65" spans="4:13" x14ac:dyDescent="0.25">
      <c r="D65" s="2"/>
      <c r="E65" s="2"/>
      <c r="F65" s="2"/>
      <c r="G65" s="2"/>
      <c r="J65" s="2"/>
      <c r="M65" s="2"/>
    </row>
    <row r="66" spans="4:13" x14ac:dyDescent="0.25">
      <c r="D66" s="2"/>
      <c r="E66" s="2"/>
      <c r="F66" s="2"/>
      <c r="G66" s="2"/>
      <c r="J66" s="2"/>
      <c r="M66" s="2"/>
    </row>
    <row r="67" spans="4:13" x14ac:dyDescent="0.25">
      <c r="D67" s="2"/>
      <c r="E67" s="2"/>
      <c r="F67" s="2"/>
      <c r="G67" s="2"/>
      <c r="J67" s="2"/>
      <c r="M67" s="2"/>
    </row>
    <row r="68" spans="4:13" x14ac:dyDescent="0.25">
      <c r="D68" s="2"/>
      <c r="E68" s="2"/>
      <c r="F68" s="2"/>
      <c r="G68" s="2"/>
      <c r="J68" s="2"/>
      <c r="M68" s="2"/>
    </row>
    <row r="69" spans="4:13" x14ac:dyDescent="0.25">
      <c r="D69" s="2"/>
      <c r="E69" s="2"/>
      <c r="F69" s="2"/>
      <c r="G69" s="2"/>
      <c r="J69" s="2"/>
      <c r="M69" s="2"/>
    </row>
    <row r="70" spans="4:13" x14ac:dyDescent="0.25">
      <c r="D70" s="2"/>
      <c r="E70" s="2"/>
      <c r="F70" s="2"/>
      <c r="G70" s="2"/>
      <c r="J70" s="2"/>
      <c r="M70" s="2"/>
    </row>
    <row r="71" spans="4:13" x14ac:dyDescent="0.25">
      <c r="D71" s="2"/>
      <c r="E71" s="2"/>
      <c r="F71" s="2"/>
      <c r="G71" s="2"/>
      <c r="J71" s="2"/>
      <c r="M71" s="2"/>
    </row>
    <row r="72" spans="4:13" x14ac:dyDescent="0.25">
      <c r="D72" s="2"/>
      <c r="E72" s="2"/>
      <c r="F72" s="2"/>
      <c r="G72" s="2"/>
      <c r="J72" s="2"/>
      <c r="M72" s="2"/>
    </row>
    <row r="73" spans="4:13" x14ac:dyDescent="0.25">
      <c r="D73" s="2"/>
      <c r="E73" s="2"/>
      <c r="F73" s="2"/>
      <c r="G73" s="2"/>
      <c r="J73" s="2"/>
      <c r="M73" s="2"/>
    </row>
    <row r="74" spans="4:13" x14ac:dyDescent="0.25">
      <c r="D74" s="2"/>
      <c r="E74" s="2"/>
      <c r="F74" s="2"/>
      <c r="G74" s="2"/>
      <c r="J74" s="2"/>
      <c r="M74" s="2"/>
    </row>
    <row r="75" spans="4:13" x14ac:dyDescent="0.25">
      <c r="D75" s="2"/>
      <c r="E75" s="2"/>
      <c r="F75" s="2"/>
      <c r="G75" s="2"/>
      <c r="J75" s="2"/>
      <c r="M75" s="2"/>
    </row>
    <row r="76" spans="4:13" x14ac:dyDescent="0.25">
      <c r="D76" s="2"/>
      <c r="E76" s="2"/>
      <c r="F76" s="2"/>
      <c r="G76" s="2"/>
      <c r="J76" s="2"/>
      <c r="M76" s="2"/>
    </row>
    <row r="77" spans="4:13" x14ac:dyDescent="0.25">
      <c r="D77" s="2"/>
      <c r="E77" s="2"/>
      <c r="F77" s="2"/>
      <c r="G77" s="2"/>
      <c r="J77" s="2"/>
      <c r="M77" s="2"/>
    </row>
    <row r="78" spans="4:13" x14ac:dyDescent="0.25">
      <c r="D78" s="2"/>
      <c r="E78" s="2"/>
      <c r="F78" s="2"/>
      <c r="G78" s="2"/>
      <c r="J78" s="2"/>
      <c r="M78" s="2"/>
    </row>
    <row r="79" spans="4:13" x14ac:dyDescent="0.25">
      <c r="D79" s="2"/>
      <c r="E79" s="2"/>
      <c r="F79" s="2"/>
      <c r="G79" s="2"/>
      <c r="J79" s="2"/>
      <c r="M79" s="2"/>
    </row>
    <row r="80" spans="4:13" x14ac:dyDescent="0.25">
      <c r="D80" s="2"/>
      <c r="E80" s="2"/>
      <c r="F80" s="2"/>
      <c r="G80" s="2"/>
      <c r="J80" s="2"/>
      <c r="M80" s="2"/>
    </row>
    <row r="81" spans="4:13" x14ac:dyDescent="0.25">
      <c r="D81" s="2"/>
      <c r="E81" s="2"/>
      <c r="F81" s="2"/>
      <c r="G81" s="2"/>
      <c r="J81" s="2"/>
      <c r="M81" s="2"/>
    </row>
    <row r="82" spans="4:13" x14ac:dyDescent="0.25">
      <c r="D82" s="2"/>
      <c r="E82" s="2"/>
      <c r="F82" s="2"/>
      <c r="G82" s="2"/>
      <c r="J82" s="2"/>
      <c r="M82" s="2"/>
    </row>
    <row r="83" spans="4:13" x14ac:dyDescent="0.25">
      <c r="D83" s="2"/>
      <c r="E83" s="2"/>
      <c r="F83" s="2"/>
      <c r="G83" s="2"/>
      <c r="J83" s="2"/>
      <c r="M83" s="2"/>
    </row>
    <row r="84" spans="4:13" x14ac:dyDescent="0.25">
      <c r="D84" s="2"/>
      <c r="E84" s="2"/>
      <c r="F84" s="2"/>
      <c r="G84" s="2"/>
      <c r="J84" s="2"/>
      <c r="M84" s="2"/>
    </row>
    <row r="85" spans="4:13" x14ac:dyDescent="0.25">
      <c r="D85" s="2"/>
      <c r="E85" s="2"/>
      <c r="F85" s="2"/>
      <c r="G85" s="2"/>
      <c r="J85" s="2"/>
      <c r="M85" s="2"/>
    </row>
    <row r="86" spans="4:13" x14ac:dyDescent="0.25">
      <c r="D86" s="2"/>
      <c r="E86" s="2"/>
      <c r="F86" s="2"/>
      <c r="G86" s="2"/>
      <c r="J86" s="2"/>
      <c r="M86" s="2"/>
    </row>
    <row r="87" spans="4:13" x14ac:dyDescent="0.25">
      <c r="D87" s="2"/>
      <c r="E87" s="2"/>
      <c r="F87" s="2"/>
      <c r="G87" s="2"/>
      <c r="J87" s="2"/>
      <c r="M87" s="2"/>
    </row>
    <row r="88" spans="4:13" x14ac:dyDescent="0.25">
      <c r="D88" s="2"/>
      <c r="E88" s="2"/>
      <c r="F88" s="2"/>
      <c r="G88" s="2"/>
      <c r="J88" s="2"/>
      <c r="M88" s="2"/>
    </row>
    <row r="89" spans="4:13" x14ac:dyDescent="0.25">
      <c r="D89" s="2"/>
      <c r="E89" s="2"/>
      <c r="F89" s="2"/>
      <c r="G89" s="2"/>
      <c r="J89" s="2"/>
      <c r="M89" s="2"/>
    </row>
    <row r="90" spans="4:13" x14ac:dyDescent="0.25">
      <c r="D90" s="2"/>
      <c r="E90" s="2"/>
      <c r="F90" s="2"/>
      <c r="G90" s="2"/>
      <c r="J90" s="2"/>
      <c r="M90" s="2"/>
    </row>
    <row r="91" spans="4:13" x14ac:dyDescent="0.25">
      <c r="D91" s="2"/>
      <c r="E91" s="2"/>
      <c r="F91" s="2"/>
      <c r="G91" s="2"/>
      <c r="J91" s="2"/>
      <c r="M91" s="2"/>
    </row>
    <row r="92" spans="4:13" x14ac:dyDescent="0.25">
      <c r="D92" s="2"/>
      <c r="E92" s="2"/>
      <c r="F92" s="2"/>
      <c r="G92" s="2"/>
      <c r="J92" s="2"/>
      <c r="M92" s="2"/>
    </row>
    <row r="93" spans="4:13" x14ac:dyDescent="0.25">
      <c r="D93" s="2"/>
      <c r="E93" s="2"/>
      <c r="F93" s="2"/>
      <c r="G93" s="2"/>
      <c r="J93" s="2"/>
      <c r="M93" s="2"/>
    </row>
    <row r="94" spans="4:13" x14ac:dyDescent="0.25">
      <c r="D94" s="2"/>
      <c r="E94" s="2"/>
      <c r="F94" s="2"/>
      <c r="G94" s="2"/>
      <c r="J94" s="2"/>
      <c r="M94" s="2"/>
    </row>
    <row r="95" spans="4:13" x14ac:dyDescent="0.25">
      <c r="D95" s="2"/>
      <c r="E95" s="2"/>
      <c r="F95" s="2"/>
      <c r="G95" s="2"/>
      <c r="J95" s="2"/>
      <c r="M95" s="2"/>
    </row>
    <row r="96" spans="4:13" x14ac:dyDescent="0.25">
      <c r="D96" s="2"/>
      <c r="E96" s="2"/>
      <c r="F96" s="2"/>
      <c r="G96" s="2"/>
      <c r="J96" s="2"/>
      <c r="M96" s="2"/>
    </row>
    <row r="97" spans="4:13" x14ac:dyDescent="0.25">
      <c r="D97" s="2"/>
      <c r="E97" s="2"/>
      <c r="F97" s="2"/>
      <c r="G97" s="2"/>
      <c r="J97" s="2"/>
      <c r="M97" s="2"/>
    </row>
    <row r="98" spans="4:13" x14ac:dyDescent="0.25">
      <c r="D98" s="2"/>
      <c r="E98" s="2"/>
      <c r="F98" s="2"/>
      <c r="G98" s="2"/>
      <c r="J98" s="2"/>
      <c r="M98" s="2"/>
    </row>
    <row r="99" spans="4:13" x14ac:dyDescent="0.25">
      <c r="D99" s="2"/>
      <c r="E99" s="2"/>
      <c r="F99" s="2"/>
      <c r="G99" s="2"/>
      <c r="J99" s="2"/>
      <c r="M99" s="2"/>
    </row>
    <row r="100" spans="4:13" x14ac:dyDescent="0.25">
      <c r="D100" s="2"/>
      <c r="E100" s="2"/>
      <c r="F100" s="2"/>
      <c r="G100" s="2"/>
      <c r="J100" s="2"/>
      <c r="M100" s="2"/>
    </row>
    <row r="101" spans="4:13" x14ac:dyDescent="0.25">
      <c r="D101" s="2"/>
      <c r="E101" s="2"/>
      <c r="F101" s="2"/>
      <c r="G101" s="2"/>
      <c r="J101" s="2"/>
      <c r="M101" s="2"/>
    </row>
    <row r="102" spans="4:13" x14ac:dyDescent="0.25">
      <c r="D102" s="2"/>
      <c r="E102" s="2"/>
      <c r="F102" s="2"/>
      <c r="G102" s="2"/>
      <c r="J102" s="2"/>
      <c r="M102" s="2"/>
    </row>
    <row r="103" spans="4:13" x14ac:dyDescent="0.25">
      <c r="D103" s="2"/>
      <c r="E103" s="2"/>
      <c r="F103" s="2"/>
      <c r="G103" s="2"/>
      <c r="J103" s="2"/>
      <c r="M103" s="2"/>
    </row>
    <row r="104" spans="4:13" x14ac:dyDescent="0.25">
      <c r="D104" s="2"/>
      <c r="E104" s="2"/>
      <c r="F104" s="2"/>
      <c r="G104" s="2"/>
      <c r="J104" s="2"/>
      <c r="M104" s="2"/>
    </row>
    <row r="105" spans="4:13" x14ac:dyDescent="0.25">
      <c r="D105" s="2"/>
      <c r="E105" s="2"/>
      <c r="F105" s="2"/>
      <c r="G105" s="2"/>
      <c r="J105" s="2"/>
      <c r="M105" s="2"/>
    </row>
    <row r="106" spans="4:13" x14ac:dyDescent="0.25">
      <c r="D106" s="2"/>
      <c r="E106" s="2"/>
      <c r="F106" s="2"/>
      <c r="G106" s="2"/>
      <c r="J106" s="2"/>
      <c r="M106" s="2"/>
    </row>
    <row r="107" spans="4:13" x14ac:dyDescent="0.25">
      <c r="D107" s="2"/>
      <c r="E107" s="2"/>
      <c r="F107" s="2"/>
      <c r="G107" s="2"/>
      <c r="J107" s="2"/>
      <c r="M107" s="2"/>
    </row>
    <row r="108" spans="4:13" x14ac:dyDescent="0.25">
      <c r="D108" s="2"/>
      <c r="E108" s="2"/>
      <c r="F108" s="2"/>
      <c r="G108" s="2"/>
      <c r="J108" s="2"/>
      <c r="M108" s="2"/>
    </row>
    <row r="109" spans="4:13" x14ac:dyDescent="0.25">
      <c r="D109" s="2"/>
      <c r="E109" s="2"/>
      <c r="F109" s="2"/>
      <c r="G109" s="2"/>
      <c r="J109" s="2"/>
      <c r="M109" s="2"/>
    </row>
    <row r="110" spans="4:13" x14ac:dyDescent="0.25">
      <c r="D110" s="2"/>
      <c r="E110" s="2"/>
      <c r="F110" s="2"/>
      <c r="G110" s="2"/>
      <c r="J110" s="2"/>
      <c r="M110" s="2"/>
    </row>
    <row r="111" spans="4:13" x14ac:dyDescent="0.25">
      <c r="D111" s="2"/>
      <c r="E111" s="2"/>
      <c r="F111" s="2"/>
      <c r="G111" s="2"/>
      <c r="J111" s="2"/>
      <c r="M111" s="2"/>
    </row>
    <row r="112" spans="4:13" x14ac:dyDescent="0.25">
      <c r="D112" s="2"/>
      <c r="E112" s="2"/>
      <c r="F112" s="2"/>
      <c r="G112" s="2"/>
      <c r="J112" s="2"/>
      <c r="M112" s="2"/>
    </row>
    <row r="113" spans="4:13" x14ac:dyDescent="0.25">
      <c r="D113" s="2"/>
      <c r="E113" s="2"/>
      <c r="F113" s="2"/>
      <c r="G113" s="2"/>
      <c r="J113" s="2"/>
      <c r="M113" s="2"/>
    </row>
    <row r="114" spans="4:13" x14ac:dyDescent="0.25">
      <c r="D114" s="2"/>
      <c r="E114" s="2"/>
      <c r="F114" s="2"/>
      <c r="G114" s="2"/>
      <c r="J114" s="2"/>
      <c r="M114" s="2"/>
    </row>
    <row r="115" spans="4:13" x14ac:dyDescent="0.25">
      <c r="D115" s="2"/>
      <c r="E115" s="2"/>
      <c r="F115" s="2"/>
      <c r="G115" s="2"/>
      <c r="J115" s="2"/>
      <c r="M115" s="2"/>
    </row>
    <row r="116" spans="4:13" x14ac:dyDescent="0.25">
      <c r="D116" s="2"/>
      <c r="E116" s="2"/>
      <c r="F116" s="2"/>
      <c r="G116" s="2"/>
      <c r="J116" s="2"/>
      <c r="M116" s="2"/>
    </row>
    <row r="117" spans="4:13" x14ac:dyDescent="0.25">
      <c r="D117" s="2"/>
      <c r="E117" s="2"/>
      <c r="F117" s="2"/>
      <c r="G117" s="2"/>
      <c r="J117" s="2"/>
      <c r="M117" s="2"/>
    </row>
    <row r="118" spans="4:13" x14ac:dyDescent="0.25">
      <c r="D118" s="2"/>
      <c r="E118" s="2"/>
      <c r="F118" s="2"/>
      <c r="G118" s="2"/>
      <c r="J118" s="2"/>
      <c r="M118" s="2"/>
    </row>
    <row r="119" spans="4:13" x14ac:dyDescent="0.25">
      <c r="D119" s="2"/>
      <c r="E119" s="2"/>
      <c r="F119" s="2"/>
      <c r="G119" s="2"/>
      <c r="J119" s="2"/>
      <c r="M119" s="2"/>
    </row>
    <row r="120" spans="4:13" x14ac:dyDescent="0.25">
      <c r="D120" s="2"/>
      <c r="E120" s="2"/>
      <c r="F120" s="2"/>
      <c r="G120" s="2"/>
      <c r="J120" s="2"/>
      <c r="M120" s="2"/>
    </row>
    <row r="121" spans="4:13" x14ac:dyDescent="0.25">
      <c r="D121" s="2"/>
      <c r="E121" s="2"/>
      <c r="F121" s="2"/>
      <c r="G121" s="2"/>
      <c r="J121" s="2"/>
      <c r="M121" s="2"/>
    </row>
    <row r="122" spans="4:13" x14ac:dyDescent="0.25">
      <c r="D122" s="2"/>
      <c r="E122" s="2"/>
      <c r="F122" s="2"/>
      <c r="G122" s="2"/>
      <c r="J122" s="2"/>
      <c r="M122" s="2"/>
    </row>
    <row r="123" spans="4:13" x14ac:dyDescent="0.25">
      <c r="D123" s="2"/>
      <c r="E123" s="2"/>
      <c r="F123" s="2"/>
      <c r="G123" s="2"/>
      <c r="J123" s="2"/>
      <c r="M123" s="2"/>
    </row>
    <row r="124" spans="4:13" x14ac:dyDescent="0.25">
      <c r="D124" s="2"/>
      <c r="E124" s="2"/>
      <c r="F124" s="2"/>
      <c r="G124" s="2"/>
      <c r="J124" s="2"/>
      <c r="M124" s="2"/>
    </row>
    <row r="125" spans="4:13" x14ac:dyDescent="0.25">
      <c r="D125" s="2"/>
      <c r="E125" s="2"/>
      <c r="F125" s="2"/>
      <c r="G125" s="2"/>
      <c r="J125" s="2"/>
      <c r="M125" s="2"/>
    </row>
    <row r="126" spans="4:13" x14ac:dyDescent="0.25">
      <c r="D126" s="2"/>
      <c r="E126" s="2"/>
      <c r="F126" s="2"/>
      <c r="G126" s="2"/>
      <c r="J126" s="2"/>
      <c r="M126" s="2"/>
    </row>
    <row r="127" spans="4:13" x14ac:dyDescent="0.25">
      <c r="D127" s="2"/>
      <c r="E127" s="2"/>
      <c r="F127" s="2"/>
      <c r="G127" s="2"/>
      <c r="J127" s="2"/>
      <c r="M127" s="2"/>
    </row>
    <row r="128" spans="4:13" x14ac:dyDescent="0.25">
      <c r="D128" s="2"/>
      <c r="E128" s="2"/>
      <c r="F128" s="2"/>
      <c r="G128" s="2"/>
      <c r="J128" s="2"/>
      <c r="M128" s="2"/>
    </row>
    <row r="129" spans="4:13" x14ac:dyDescent="0.25">
      <c r="D129" s="2"/>
      <c r="E129" s="2"/>
      <c r="F129" s="2"/>
      <c r="G129" s="2"/>
      <c r="J129" s="2"/>
      <c r="M129" s="2"/>
    </row>
    <row r="130" spans="4:13" x14ac:dyDescent="0.25">
      <c r="D130" s="2"/>
      <c r="E130" s="2"/>
      <c r="F130" s="2"/>
      <c r="G130" s="2"/>
      <c r="J130" s="2"/>
      <c r="M130" s="2"/>
    </row>
    <row r="131" spans="4:13" x14ac:dyDescent="0.25">
      <c r="D131" s="2"/>
      <c r="E131" s="2"/>
      <c r="F131" s="2"/>
      <c r="G131" s="2"/>
      <c r="J131" s="2"/>
      <c r="M131" s="2"/>
    </row>
    <row r="132" spans="4:13" x14ac:dyDescent="0.25">
      <c r="D132" s="2"/>
      <c r="E132" s="2"/>
      <c r="F132" s="2"/>
      <c r="G132" s="2"/>
      <c r="J132" s="2"/>
      <c r="M132" s="2"/>
    </row>
    <row r="133" spans="4:13" x14ac:dyDescent="0.25">
      <c r="D133" s="2"/>
      <c r="E133" s="2"/>
      <c r="F133" s="2"/>
      <c r="G133" s="2"/>
      <c r="J133" s="2"/>
      <c r="M133" s="2"/>
    </row>
    <row r="134" spans="4:13" x14ac:dyDescent="0.25">
      <c r="D134" s="2"/>
      <c r="E134" s="2"/>
      <c r="F134" s="2"/>
      <c r="G134" s="2"/>
      <c r="J134" s="2"/>
      <c r="M134" s="2"/>
    </row>
    <row r="135" spans="4:13" x14ac:dyDescent="0.25">
      <c r="D135" s="2"/>
      <c r="E135" s="2"/>
      <c r="F135" s="2"/>
      <c r="G135" s="2"/>
      <c r="J135" s="2"/>
      <c r="M135" s="2"/>
    </row>
    <row r="136" spans="4:13" x14ac:dyDescent="0.25">
      <c r="D136" s="2"/>
      <c r="E136" s="2"/>
      <c r="F136" s="2"/>
      <c r="G136" s="2"/>
      <c r="J136" s="2"/>
      <c r="M136" s="2"/>
    </row>
    <row r="137" spans="4:13" x14ac:dyDescent="0.25">
      <c r="D137" s="2"/>
      <c r="E137" s="2"/>
      <c r="F137" s="2"/>
      <c r="G137" s="2"/>
      <c r="J137" s="2"/>
      <c r="M137" s="2"/>
    </row>
    <row r="138" spans="4:13" x14ac:dyDescent="0.25">
      <c r="D138" s="2"/>
      <c r="E138" s="2"/>
      <c r="F138" s="2"/>
      <c r="G138" s="2"/>
      <c r="J138" s="2"/>
      <c r="M138" s="2"/>
    </row>
    <row r="139" spans="4:13" x14ac:dyDescent="0.25">
      <c r="D139" s="2"/>
      <c r="E139" s="2"/>
      <c r="F139" s="2"/>
      <c r="G139" s="2"/>
      <c r="J139" s="2"/>
      <c r="M139" s="2"/>
    </row>
    <row r="140" spans="4:13" x14ac:dyDescent="0.25">
      <c r="D140" s="2"/>
      <c r="E140" s="2"/>
      <c r="F140" s="2"/>
      <c r="G140" s="2"/>
      <c r="J140" s="2"/>
      <c r="M140" s="2"/>
    </row>
    <row r="141" spans="4:13" x14ac:dyDescent="0.25">
      <c r="D141" s="2"/>
      <c r="E141" s="2"/>
      <c r="F141" s="2"/>
      <c r="G141" s="2"/>
      <c r="J141" s="2"/>
      <c r="M141" s="2"/>
    </row>
    <row r="142" spans="4:13" x14ac:dyDescent="0.25">
      <c r="D142" s="2"/>
      <c r="E142" s="2"/>
      <c r="F142" s="2"/>
      <c r="G142" s="2"/>
      <c r="J142" s="2"/>
      <c r="M142" s="2"/>
    </row>
    <row r="143" spans="4:13" x14ac:dyDescent="0.25">
      <c r="D143" s="2"/>
      <c r="E143" s="2"/>
      <c r="F143" s="2"/>
      <c r="G143" s="2"/>
      <c r="J143" s="2"/>
      <c r="M143" s="2"/>
    </row>
    <row r="144" spans="4:13" x14ac:dyDescent="0.25">
      <c r="D144" s="2"/>
      <c r="E144" s="2"/>
      <c r="F144" s="2"/>
      <c r="G144" s="2"/>
      <c r="J144" s="2"/>
      <c r="M144" s="2"/>
    </row>
    <row r="145" spans="4:13" x14ac:dyDescent="0.25">
      <c r="D145" s="2"/>
      <c r="E145" s="2"/>
      <c r="F145" s="2"/>
      <c r="G145" s="2"/>
      <c r="J145" s="2"/>
      <c r="M145" s="2"/>
    </row>
    <row r="146" spans="4:13" x14ac:dyDescent="0.25">
      <c r="D146" s="2"/>
      <c r="E146" s="2"/>
      <c r="F146" s="2"/>
      <c r="G146" s="2"/>
      <c r="J146" s="2"/>
      <c r="M146" s="2"/>
    </row>
    <row r="147" spans="4:13" x14ac:dyDescent="0.25">
      <c r="D147" s="2"/>
      <c r="E147" s="2"/>
      <c r="F147" s="2"/>
      <c r="G147" s="2"/>
      <c r="J147" s="2"/>
      <c r="M147" s="2"/>
    </row>
    <row r="148" spans="4:13" x14ac:dyDescent="0.25">
      <c r="D148" s="2"/>
      <c r="E148" s="2"/>
      <c r="F148" s="2"/>
      <c r="G148" s="2"/>
      <c r="J148" s="2"/>
      <c r="M148" s="2"/>
    </row>
    <row r="149" spans="4:13" x14ac:dyDescent="0.25">
      <c r="D149" s="2"/>
      <c r="E149" s="2"/>
      <c r="F149" s="2"/>
      <c r="G149" s="2"/>
      <c r="J149" s="2"/>
      <c r="M149" s="2"/>
    </row>
    <row r="150" spans="4:13" x14ac:dyDescent="0.25">
      <c r="D150" s="2"/>
      <c r="E150" s="2"/>
      <c r="F150" s="2"/>
      <c r="G150" s="2"/>
      <c r="J150" s="2"/>
      <c r="M150" s="2"/>
    </row>
    <row r="151" spans="4:13" x14ac:dyDescent="0.25">
      <c r="D151" s="2"/>
      <c r="E151" s="2"/>
      <c r="F151" s="2"/>
      <c r="G151" s="2"/>
      <c r="J151" s="2"/>
      <c r="M151" s="2"/>
    </row>
    <row r="152" spans="4:13" x14ac:dyDescent="0.25">
      <c r="D152" s="2"/>
      <c r="E152" s="2"/>
      <c r="F152" s="2"/>
      <c r="G152" s="2"/>
      <c r="J152" s="2"/>
      <c r="M152" s="2"/>
    </row>
    <row r="153" spans="4:13" x14ac:dyDescent="0.25">
      <c r="D153" s="2"/>
      <c r="E153" s="2"/>
      <c r="F153" s="2"/>
      <c r="G153" s="2"/>
      <c r="J153" s="2"/>
      <c r="M153" s="2"/>
    </row>
    <row r="154" spans="4:13" x14ac:dyDescent="0.25">
      <c r="D154" s="2"/>
      <c r="E154" s="2"/>
      <c r="F154" s="2"/>
      <c r="G154" s="2"/>
      <c r="J154" s="2"/>
      <c r="M154" s="2"/>
    </row>
    <row r="155" spans="4:13" x14ac:dyDescent="0.25">
      <c r="D155" s="2"/>
      <c r="E155" s="2"/>
      <c r="F155" s="2"/>
      <c r="G155" s="2"/>
      <c r="J155" s="2"/>
      <c r="M155" s="2"/>
    </row>
    <row r="156" spans="4:13" x14ac:dyDescent="0.25">
      <c r="D156" s="2"/>
      <c r="E156" s="2"/>
      <c r="F156" s="2"/>
      <c r="G156" s="2"/>
      <c r="J156" s="2"/>
      <c r="M156" s="2"/>
    </row>
    <row r="157" spans="4:13" x14ac:dyDescent="0.25">
      <c r="D157" s="2"/>
      <c r="E157" s="2"/>
      <c r="F157" s="2"/>
      <c r="G157" s="2"/>
      <c r="J157" s="2"/>
      <c r="M157" s="2"/>
    </row>
    <row r="158" spans="4:13" x14ac:dyDescent="0.25">
      <c r="D158" s="2"/>
      <c r="E158" s="2"/>
      <c r="F158" s="2"/>
      <c r="G158" s="2"/>
      <c r="J158" s="2"/>
      <c r="M158" s="2"/>
    </row>
    <row r="159" spans="4:13" x14ac:dyDescent="0.25">
      <c r="D159" s="2"/>
      <c r="E159" s="2"/>
      <c r="F159" s="2"/>
      <c r="G159" s="2"/>
      <c r="J159" s="2"/>
      <c r="M159" s="2"/>
    </row>
    <row r="160" spans="4:13" x14ac:dyDescent="0.25">
      <c r="D160" s="2"/>
      <c r="E160" s="2"/>
      <c r="F160" s="2"/>
      <c r="G160" s="2"/>
      <c r="J160" s="2"/>
      <c r="M160" s="2"/>
    </row>
    <row r="161" spans="4:13" x14ac:dyDescent="0.25">
      <c r="D161" s="2"/>
      <c r="E161" s="2"/>
      <c r="F161" s="2"/>
      <c r="G161" s="2"/>
      <c r="J161" s="2"/>
      <c r="M161" s="2"/>
    </row>
    <row r="162" spans="4:13" x14ac:dyDescent="0.25">
      <c r="D162" s="2"/>
      <c r="E162" s="2"/>
      <c r="F162" s="2"/>
      <c r="G162" s="2"/>
      <c r="J162" s="2"/>
      <c r="M162" s="2"/>
    </row>
    <row r="163" spans="4:13" x14ac:dyDescent="0.25">
      <c r="D163" s="2"/>
      <c r="E163" s="2"/>
      <c r="F163" s="2"/>
      <c r="G163" s="2"/>
      <c r="J163" s="2"/>
      <c r="M163" s="2"/>
    </row>
    <row r="164" spans="4:13" x14ac:dyDescent="0.25">
      <c r="D164" s="2"/>
      <c r="E164" s="2"/>
      <c r="F164" s="2"/>
      <c r="G164" s="2"/>
      <c r="J164" s="2"/>
      <c r="M164" s="2"/>
    </row>
    <row r="165" spans="4:13" x14ac:dyDescent="0.25">
      <c r="D165" s="2"/>
      <c r="E165" s="2"/>
      <c r="F165" s="2"/>
      <c r="G165" s="2"/>
      <c r="J165" s="2"/>
      <c r="M165" s="2"/>
    </row>
    <row r="166" spans="4:13" x14ac:dyDescent="0.25">
      <c r="D166" s="2"/>
      <c r="E166" s="2"/>
      <c r="F166" s="2"/>
      <c r="G166" s="2"/>
      <c r="J166" s="2"/>
      <c r="M166" s="2"/>
    </row>
    <row r="167" spans="4:13" x14ac:dyDescent="0.25">
      <c r="D167" s="2"/>
      <c r="E167" s="2"/>
      <c r="F167" s="2"/>
      <c r="G167" s="2"/>
      <c r="J167" s="2"/>
      <c r="M167" s="2"/>
    </row>
    <row r="168" spans="4:13" x14ac:dyDescent="0.25">
      <c r="D168" s="2"/>
      <c r="E168" s="2"/>
      <c r="F168" s="2"/>
      <c r="G168" s="2"/>
      <c r="J168" s="2"/>
      <c r="M168" s="2"/>
    </row>
    <row r="169" spans="4:13" x14ac:dyDescent="0.25">
      <c r="D169" s="2"/>
      <c r="E169" s="2"/>
      <c r="F169" s="2"/>
      <c r="G169" s="2"/>
      <c r="J169" s="2"/>
      <c r="M169" s="2"/>
    </row>
    <row r="170" spans="4:13" x14ac:dyDescent="0.25">
      <c r="D170" s="2"/>
      <c r="E170" s="2"/>
      <c r="F170" s="2"/>
      <c r="G170" s="2"/>
      <c r="J170" s="2"/>
      <c r="M170" s="2"/>
    </row>
    <row r="171" spans="4:13" x14ac:dyDescent="0.25">
      <c r="D171" s="2"/>
      <c r="E171" s="2"/>
      <c r="F171" s="2"/>
      <c r="G171" s="2"/>
      <c r="J171" s="2"/>
      <c r="M171" s="2"/>
    </row>
    <row r="172" spans="4:13" x14ac:dyDescent="0.25">
      <c r="D172" s="2"/>
      <c r="E172" s="2"/>
      <c r="F172" s="2"/>
      <c r="G172" s="2"/>
      <c r="J172" s="2"/>
      <c r="M172" s="2"/>
    </row>
    <row r="173" spans="4:13" x14ac:dyDescent="0.25">
      <c r="D173" s="2"/>
      <c r="E173" s="2"/>
      <c r="F173" s="2"/>
      <c r="G173" s="2"/>
      <c r="J173" s="2"/>
      <c r="M173" s="2"/>
    </row>
    <row r="174" spans="4:13" x14ac:dyDescent="0.25">
      <c r="D174" s="2"/>
      <c r="E174" s="2"/>
      <c r="F174" s="2"/>
      <c r="G174" s="2"/>
      <c r="J174" s="2"/>
      <c r="M174" s="2"/>
    </row>
    <row r="175" spans="4:13" x14ac:dyDescent="0.25">
      <c r="D175" s="2"/>
      <c r="E175" s="2"/>
      <c r="F175" s="2"/>
      <c r="G175" s="2"/>
      <c r="J175" s="2"/>
      <c r="M175" s="2"/>
    </row>
    <row r="176" spans="4:13" x14ac:dyDescent="0.25">
      <c r="D176" s="2"/>
      <c r="E176" s="2"/>
      <c r="F176" s="2"/>
      <c r="G176" s="2"/>
      <c r="J176" s="2"/>
      <c r="M176" s="2"/>
    </row>
    <row r="177" spans="4:13" x14ac:dyDescent="0.25">
      <c r="D177" s="2"/>
      <c r="E177" s="2"/>
      <c r="F177" s="2"/>
      <c r="G177" s="2"/>
      <c r="J177" s="2"/>
      <c r="M177" s="2"/>
    </row>
    <row r="178" spans="4:13" x14ac:dyDescent="0.25">
      <c r="D178" s="2"/>
      <c r="E178" s="2"/>
      <c r="F178" s="2"/>
      <c r="G178" s="2"/>
      <c r="J178" s="2"/>
      <c r="M178" s="2"/>
    </row>
    <row r="179" spans="4:13" x14ac:dyDescent="0.25">
      <c r="D179" s="2"/>
      <c r="E179" s="2"/>
      <c r="F179" s="2"/>
      <c r="G179" s="2"/>
      <c r="J179" s="2"/>
      <c r="M179" s="2"/>
    </row>
    <row r="180" spans="4:13" x14ac:dyDescent="0.25">
      <c r="D180" s="2"/>
      <c r="E180" s="2"/>
      <c r="F180" s="2"/>
      <c r="G180" s="2"/>
      <c r="J180" s="2"/>
      <c r="M180" s="2"/>
    </row>
    <row r="181" spans="4:13" x14ac:dyDescent="0.25">
      <c r="D181" s="2"/>
      <c r="E181" s="2"/>
      <c r="F181" s="2"/>
      <c r="G181" s="2"/>
      <c r="J181" s="2"/>
      <c r="M181" s="2"/>
    </row>
    <row r="182" spans="4:13" x14ac:dyDescent="0.25">
      <c r="D182" s="2"/>
      <c r="E182" s="2"/>
      <c r="F182" s="2"/>
      <c r="G182" s="2"/>
      <c r="J182" s="2"/>
      <c r="M182" s="2"/>
    </row>
    <row r="183" spans="4:13" x14ac:dyDescent="0.25">
      <c r="D183" s="2"/>
      <c r="E183" s="2"/>
      <c r="F183" s="2"/>
      <c r="G183" s="2"/>
      <c r="J183" s="2"/>
      <c r="M183" s="2"/>
    </row>
    <row r="184" spans="4:13" x14ac:dyDescent="0.25">
      <c r="D184" s="2"/>
      <c r="E184" s="2"/>
      <c r="F184" s="2"/>
      <c r="G184" s="2"/>
      <c r="J184" s="2"/>
      <c r="M184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Candell, Rick (Fed)</dc:creator>
  <cp:lastModifiedBy>Candell, Rick (Fed)</cp:lastModifiedBy>
  <dcterms:created xsi:type="dcterms:W3CDTF">2015-06-05T18:17:20Z</dcterms:created>
  <dcterms:modified xsi:type="dcterms:W3CDTF">2025-06-20T19:24:31Z</dcterms:modified>
</cp:coreProperties>
</file>